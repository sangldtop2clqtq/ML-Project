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ropbox\Salvar na USP\Pendências\Alunos\Tamara\Artigo STRS - 1KGEN\"/>
    </mc:Choice>
  </mc:AlternateContent>
  <bookViews>
    <workbookView xWindow="0" yWindow="0" windowWidth="28800" windowHeight="12435"/>
  </bookViews>
  <sheets>
    <sheet name="Summary" sheetId="8" r:id="rId1"/>
    <sheet name="AFR" sheetId="2" r:id="rId2"/>
    <sheet name="AMR" sheetId="1" r:id="rId3"/>
    <sheet name="EUR" sheetId="4" r:id="rId4"/>
    <sheet name="EAS" sheetId="3" r:id="rId5"/>
    <sheet name="SAS" sheetId="5" r:id="rId6"/>
  </sheets>
  <definedNames>
    <definedName name="_xlnm._FilterDatabase" localSheetId="0" hidden="1">Summary!$A$16:$C$42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0" i="5" l="1"/>
  <c r="B79" i="5"/>
  <c r="B80" i="3"/>
  <c r="B79" i="3"/>
  <c r="B80" i="1"/>
  <c r="B79" i="1"/>
  <c r="B80" i="4"/>
  <c r="B79" i="4"/>
  <c r="B80" i="2"/>
  <c r="B79" i="2"/>
</calcChain>
</file>

<file path=xl/sharedStrings.xml><?xml version="1.0" encoding="utf-8"?>
<sst xmlns="http://schemas.openxmlformats.org/spreadsheetml/2006/main" count="573" uniqueCount="149">
  <si>
    <t>CSF1PO</t>
  </si>
  <si>
    <t>D10S1248</t>
  </si>
  <si>
    <t>D12S391</t>
  </si>
  <si>
    <t>D13S317</t>
  </si>
  <si>
    <t>D16S539</t>
  </si>
  <si>
    <t>D18S51</t>
  </si>
  <si>
    <t>D19S433</t>
  </si>
  <si>
    <t>D1S1656</t>
  </si>
  <si>
    <t>D22S1045</t>
  </si>
  <si>
    <t>D2S1338</t>
  </si>
  <si>
    <t>D2S441</t>
  </si>
  <si>
    <t>D3S1358</t>
  </si>
  <si>
    <t>D5S818</t>
  </si>
  <si>
    <t>D7S820</t>
  </si>
  <si>
    <t>D8S1179</t>
  </si>
  <si>
    <t>FGA</t>
  </si>
  <si>
    <t>TH01</t>
  </si>
  <si>
    <t>TPOX</t>
  </si>
  <si>
    <t>vWA</t>
  </si>
  <si>
    <t>N</t>
  </si>
  <si>
    <t>Na</t>
  </si>
  <si>
    <t>Ho</t>
  </si>
  <si>
    <t>He</t>
  </si>
  <si>
    <t>MP</t>
  </si>
  <si>
    <t>PE</t>
  </si>
  <si>
    <t>PD</t>
  </si>
  <si>
    <t>PIC</t>
  </si>
  <si>
    <t>7,3</t>
  </si>
  <si>
    <t>8,3</t>
  </si>
  <si>
    <t>9,2</t>
  </si>
  <si>
    <t>9,3</t>
  </si>
  <si>
    <t>10,2</t>
  </si>
  <si>
    <t>10,3</t>
  </si>
  <si>
    <t>11,2</t>
  </si>
  <si>
    <t>11,3</t>
  </si>
  <si>
    <t>11,4</t>
  </si>
  <si>
    <t>12,2</t>
  </si>
  <si>
    <t>12,3</t>
  </si>
  <si>
    <t>13,2</t>
  </si>
  <si>
    <t>13,3</t>
  </si>
  <si>
    <t>14,2</t>
  </si>
  <si>
    <t>14,3</t>
  </si>
  <si>
    <t>14,5</t>
  </si>
  <si>
    <t>15,1</t>
  </si>
  <si>
    <t>15,2</t>
  </si>
  <si>
    <t>15,3</t>
  </si>
  <si>
    <t>15,5</t>
  </si>
  <si>
    <t>16,2</t>
  </si>
  <si>
    <t>16,3</t>
  </si>
  <si>
    <t>17,2</t>
  </si>
  <si>
    <t>17,3</t>
  </si>
  <si>
    <t>18,2</t>
  </si>
  <si>
    <t>18,3</t>
  </si>
  <si>
    <t>19,2</t>
  </si>
  <si>
    <t>19,3</t>
  </si>
  <si>
    <t>20,2</t>
  </si>
  <si>
    <t>20,3</t>
  </si>
  <si>
    <t>21,2</t>
  </si>
  <si>
    <t>22,2</t>
  </si>
  <si>
    <t>23,2</t>
  </si>
  <si>
    <t>23,3</t>
  </si>
  <si>
    <t>24,2</t>
  </si>
  <si>
    <t>25,2</t>
  </si>
  <si>
    <t>25,3</t>
  </si>
  <si>
    <t>26,2</t>
  </si>
  <si>
    <t>26,3</t>
  </si>
  <si>
    <t>27,2</t>
  </si>
  <si>
    <t>List of Parameters estimated in each table:</t>
  </si>
  <si>
    <t>Number of samples</t>
  </si>
  <si>
    <t>Number of different alleles</t>
  </si>
  <si>
    <t>Observed Heterozygosity</t>
  </si>
  <si>
    <t>Expected Heterozygosity</t>
  </si>
  <si>
    <t>Match Probability</t>
  </si>
  <si>
    <t>Power of Exclusion</t>
  </si>
  <si>
    <t>Power of Discrimination</t>
  </si>
  <si>
    <t>Polymorphism Information Content</t>
  </si>
  <si>
    <t>CMP</t>
  </si>
  <si>
    <t>Combined Match Probability</t>
  </si>
  <si>
    <t>CPE</t>
  </si>
  <si>
    <t>Combined Power of Exclusion</t>
  </si>
  <si>
    <t>Population Code</t>
  </si>
  <si>
    <t>Population Description</t>
  </si>
  <si>
    <t>Population Group Code</t>
  </si>
  <si>
    <t>ACB</t>
  </si>
  <si>
    <t>African Caribbeans in Barbados</t>
  </si>
  <si>
    <t>ASW</t>
  </si>
  <si>
    <t>Americans of African Ancestry in SW USA</t>
  </si>
  <si>
    <t>BEB</t>
  </si>
  <si>
    <t>Bengali from Bangladesh</t>
  </si>
  <si>
    <t>CDX</t>
  </si>
  <si>
    <t>Chinese Dai in Xishuangbanna, China</t>
  </si>
  <si>
    <t>CEU</t>
  </si>
  <si>
    <t>Utah Residents (CEPH) with Northern and Western European Ancestry</t>
  </si>
  <si>
    <t>CHB</t>
  </si>
  <si>
    <t>Han Chinese in Beijing, China</t>
  </si>
  <si>
    <t>CHS</t>
  </si>
  <si>
    <t>Southern Han Chinese</t>
  </si>
  <si>
    <t>CLM</t>
  </si>
  <si>
    <t>Colombians from Medellin, Colombia</t>
  </si>
  <si>
    <t>ESN</t>
  </si>
  <si>
    <t>Esan in Nigeria</t>
  </si>
  <si>
    <t>FIN</t>
  </si>
  <si>
    <t>Finnish in Finland</t>
  </si>
  <si>
    <t>GBR</t>
  </si>
  <si>
    <t>British in England and Scotland</t>
  </si>
  <si>
    <t>GIH</t>
  </si>
  <si>
    <t>Gujarati Indian from Houston, Texas</t>
  </si>
  <si>
    <t>GWD</t>
  </si>
  <si>
    <t>Gambian in Western Divisions in the Gambia</t>
  </si>
  <si>
    <t>IBS</t>
  </si>
  <si>
    <t>Iberian Population in Spain</t>
  </si>
  <si>
    <t>ITU</t>
  </si>
  <si>
    <t>Indian Telugu from the UK</t>
  </si>
  <si>
    <t>JPT</t>
  </si>
  <si>
    <t>Japanese in Tokyo, Japan</t>
  </si>
  <si>
    <t>KHV</t>
  </si>
  <si>
    <t>Kinh in Ho Chi Minh City, Vietnam</t>
  </si>
  <si>
    <t>LWK</t>
  </si>
  <si>
    <t>Luhya in Webuye, Kenya</t>
  </si>
  <si>
    <t>MSL</t>
  </si>
  <si>
    <t>Mende in Sierra Leone</t>
  </si>
  <si>
    <t>MXL</t>
  </si>
  <si>
    <t>Mexican Ancestry from Los Angeles USA</t>
  </si>
  <si>
    <t>PEL</t>
  </si>
  <si>
    <t>Peruvians from Lima, Peru</t>
  </si>
  <si>
    <t>PJL</t>
  </si>
  <si>
    <t>Punjabi from Lahore, Pakistan</t>
  </si>
  <si>
    <t>PUR</t>
  </si>
  <si>
    <t>Puerto Ricans from Puerto Rico</t>
  </si>
  <si>
    <t>STU</t>
  </si>
  <si>
    <t>Sri Lankan Tamil from the UK</t>
  </si>
  <si>
    <t>TSI</t>
  </si>
  <si>
    <t>Toscani in Italia</t>
  </si>
  <si>
    <t>YRI</t>
  </si>
  <si>
    <t>Yoruba in Ibadan, Nigeria</t>
  </si>
  <si>
    <t>Summary of information necessary to understand the ST3 set of tables:</t>
  </si>
  <si>
    <t>AMR (Admixed Americans)</t>
  </si>
  <si>
    <t>SAS (South Asians)</t>
  </si>
  <si>
    <t>EAS (East Asians)</t>
  </si>
  <si>
    <t>EUR (Europeans)</t>
  </si>
  <si>
    <t>AFR (Africans)</t>
  </si>
  <si>
    <t>Penta D</t>
  </si>
  <si>
    <t>Penta E</t>
  </si>
  <si>
    <t>Allele</t>
  </si>
  <si>
    <t>ST3e - Allele frequencies and forensic parameters estimated for each STR in the South Asian (SAS) population group of the 1000 Genomes Project.</t>
  </si>
  <si>
    <t>ST3a - Allele frequencies and forensic parameters estimated for each STR in the African (AFR) population group of the 1000 Genomes Project.</t>
  </si>
  <si>
    <t>ST3b - Allele frequencies and forensic parameters estimated for each STR in the Admixed American (AMR) population group of the 1000 Genomes Project.</t>
  </si>
  <si>
    <t>ST3c - Allele frequencies and forensic parameters estimated for each STR in the European (EUR) population group of the 1000 Genomes Project.</t>
  </si>
  <si>
    <t>ST3d - Allele frequencies and forensic parameters estimated for each STR in the East Asian (EAS) population group of the 1000 Genomes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</si>
</sst>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0000000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65" fontId="3" fillId="0" borderId="0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11" fontId="3" fillId="0" borderId="0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165" fontId="8" fillId="0" borderId="0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1" fontId="8" fillId="0" borderId="0" xfId="0" applyNumberFormat="1" applyFont="1" applyBorder="1" applyAlignment="1">
      <alignment horizontal="center"/>
    </xf>
    <xf numFmtId="11" fontId="8" fillId="0" borderId="0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left"/>
    </xf>
    <xf numFmtId="0" fontId="8" fillId="0" borderId="0" xfId="0" applyFont="1" applyBorder="1"/>
    <xf numFmtId="166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/>
  </sheetViews>
  <sheetFormatPr defaultColWidth="11.42578125" defaultRowHeight="15.75" customHeight="1" x14ac:dyDescent="0.25"/>
  <cols>
    <col min="1" max="1" width="13.140625" style="2" customWidth="1"/>
    <col min="2" max="2" width="58.85546875" style="2" customWidth="1"/>
    <col min="3" max="3" width="30.7109375" style="2" customWidth="1"/>
    <col min="4" max="16384" width="11.42578125" style="3"/>
  </cols>
  <sheetData>
    <row r="1" spans="1:3" ht="15.75" customHeight="1" x14ac:dyDescent="0.25">
      <c r="A1" s="1" t="s">
        <v>135</v>
      </c>
    </row>
    <row r="2" spans="1:3" ht="15.75" customHeight="1" thickBot="1" x14ac:dyDescent="0.3"/>
    <row r="3" spans="1:3" ht="15.75" customHeight="1" x14ac:dyDescent="0.25">
      <c r="A3" s="4" t="s">
        <v>67</v>
      </c>
      <c r="B3" s="5"/>
      <c r="C3" s="1"/>
    </row>
    <row r="4" spans="1:3" ht="15.75" customHeight="1" x14ac:dyDescent="0.25">
      <c r="A4" s="6" t="s">
        <v>19</v>
      </c>
      <c r="B4" s="7" t="s">
        <v>68</v>
      </c>
      <c r="C4" s="8"/>
    </row>
    <row r="5" spans="1:3" ht="15.75" customHeight="1" x14ac:dyDescent="0.25">
      <c r="A5" s="6" t="s">
        <v>20</v>
      </c>
      <c r="B5" s="7" t="s">
        <v>69</v>
      </c>
      <c r="C5" s="8"/>
    </row>
    <row r="6" spans="1:3" ht="15.75" customHeight="1" x14ac:dyDescent="0.25">
      <c r="A6" s="6" t="s">
        <v>21</v>
      </c>
      <c r="B6" s="7" t="s">
        <v>70</v>
      </c>
      <c r="C6" s="8"/>
    </row>
    <row r="7" spans="1:3" ht="15.75" customHeight="1" x14ac:dyDescent="0.25">
      <c r="A7" s="6" t="s">
        <v>22</v>
      </c>
      <c r="B7" s="7" t="s">
        <v>71</v>
      </c>
      <c r="C7" s="8"/>
    </row>
    <row r="8" spans="1:3" ht="15.75" customHeight="1" x14ac:dyDescent="0.25">
      <c r="A8" s="6" t="s">
        <v>23</v>
      </c>
      <c r="B8" s="7" t="s">
        <v>72</v>
      </c>
      <c r="C8" s="8"/>
    </row>
    <row r="9" spans="1:3" ht="15.75" customHeight="1" x14ac:dyDescent="0.25">
      <c r="A9" s="6" t="s">
        <v>24</v>
      </c>
      <c r="B9" s="7" t="s">
        <v>73</v>
      </c>
      <c r="C9" s="8"/>
    </row>
    <row r="10" spans="1:3" ht="15.75" customHeight="1" x14ac:dyDescent="0.25">
      <c r="A10" s="6" t="s">
        <v>25</v>
      </c>
      <c r="B10" s="7" t="s">
        <v>74</v>
      </c>
      <c r="C10" s="8"/>
    </row>
    <row r="11" spans="1:3" ht="15.75" customHeight="1" x14ac:dyDescent="0.25">
      <c r="A11" s="6" t="s">
        <v>26</v>
      </c>
      <c r="B11" s="7" t="s">
        <v>75</v>
      </c>
      <c r="C11" s="9"/>
    </row>
    <row r="12" spans="1:3" ht="15.75" customHeight="1" x14ac:dyDescent="0.25">
      <c r="A12" s="6" t="s">
        <v>76</v>
      </c>
      <c r="B12" s="10" t="s">
        <v>77</v>
      </c>
    </row>
    <row r="13" spans="1:3" ht="15.75" customHeight="1" thickBot="1" x14ac:dyDescent="0.3">
      <c r="A13" s="11" t="s">
        <v>78</v>
      </c>
      <c r="B13" s="12" t="s">
        <v>79</v>
      </c>
    </row>
    <row r="15" spans="1:3" ht="15.75" customHeight="1" thickBot="1" x14ac:dyDescent="0.3"/>
    <row r="16" spans="1:3" ht="15.75" customHeight="1" x14ac:dyDescent="0.25">
      <c r="A16" s="13" t="s">
        <v>80</v>
      </c>
      <c r="B16" s="14" t="s">
        <v>81</v>
      </c>
      <c r="C16" s="15" t="s">
        <v>82</v>
      </c>
    </row>
    <row r="17" spans="1:3" ht="15.75" customHeight="1" x14ac:dyDescent="0.25">
      <c r="A17" s="16" t="s">
        <v>83</v>
      </c>
      <c r="B17" s="17" t="s">
        <v>84</v>
      </c>
      <c r="C17" s="18" t="s">
        <v>136</v>
      </c>
    </row>
    <row r="18" spans="1:3" ht="15.75" customHeight="1" x14ac:dyDescent="0.25">
      <c r="A18" s="16" t="s">
        <v>85</v>
      </c>
      <c r="B18" s="17" t="s">
        <v>86</v>
      </c>
      <c r="C18" s="18" t="s">
        <v>136</v>
      </c>
    </row>
    <row r="19" spans="1:3" ht="15.75" customHeight="1" x14ac:dyDescent="0.25">
      <c r="A19" s="16" t="s">
        <v>87</v>
      </c>
      <c r="B19" s="17" t="s">
        <v>88</v>
      </c>
      <c r="C19" s="18" t="s">
        <v>137</v>
      </c>
    </row>
    <row r="20" spans="1:3" ht="15.75" customHeight="1" x14ac:dyDescent="0.25">
      <c r="A20" s="16" t="s">
        <v>89</v>
      </c>
      <c r="B20" s="17" t="s">
        <v>90</v>
      </c>
      <c r="C20" s="18" t="s">
        <v>138</v>
      </c>
    </row>
    <row r="21" spans="1:3" ht="15.75" customHeight="1" x14ac:dyDescent="0.25">
      <c r="A21" s="16" t="s">
        <v>91</v>
      </c>
      <c r="B21" s="17" t="s">
        <v>92</v>
      </c>
      <c r="C21" s="18" t="s">
        <v>139</v>
      </c>
    </row>
    <row r="22" spans="1:3" ht="15.75" customHeight="1" x14ac:dyDescent="0.25">
      <c r="A22" s="16" t="s">
        <v>93</v>
      </c>
      <c r="B22" s="17" t="s">
        <v>94</v>
      </c>
      <c r="C22" s="18" t="s">
        <v>138</v>
      </c>
    </row>
    <row r="23" spans="1:3" ht="15.75" customHeight="1" x14ac:dyDescent="0.25">
      <c r="A23" s="16" t="s">
        <v>95</v>
      </c>
      <c r="B23" s="17" t="s">
        <v>96</v>
      </c>
      <c r="C23" s="18" t="s">
        <v>138</v>
      </c>
    </row>
    <row r="24" spans="1:3" ht="15.75" customHeight="1" x14ac:dyDescent="0.25">
      <c r="A24" s="16" t="s">
        <v>97</v>
      </c>
      <c r="B24" s="17" t="s">
        <v>98</v>
      </c>
      <c r="C24" s="18" t="s">
        <v>136</v>
      </c>
    </row>
    <row r="25" spans="1:3" ht="15.75" customHeight="1" x14ac:dyDescent="0.25">
      <c r="A25" s="16" t="s">
        <v>99</v>
      </c>
      <c r="B25" s="17" t="s">
        <v>100</v>
      </c>
      <c r="C25" s="18" t="s">
        <v>140</v>
      </c>
    </row>
    <row r="26" spans="1:3" ht="15.75" customHeight="1" x14ac:dyDescent="0.25">
      <c r="A26" s="16" t="s">
        <v>101</v>
      </c>
      <c r="B26" s="17" t="s">
        <v>102</v>
      </c>
      <c r="C26" s="18" t="s">
        <v>139</v>
      </c>
    </row>
    <row r="27" spans="1:3" ht="15.75" customHeight="1" x14ac:dyDescent="0.25">
      <c r="A27" s="16" t="s">
        <v>103</v>
      </c>
      <c r="B27" s="17" t="s">
        <v>104</v>
      </c>
      <c r="C27" s="18" t="s">
        <v>139</v>
      </c>
    </row>
    <row r="28" spans="1:3" ht="15.75" customHeight="1" x14ac:dyDescent="0.25">
      <c r="A28" s="16" t="s">
        <v>105</v>
      </c>
      <c r="B28" s="17" t="s">
        <v>106</v>
      </c>
      <c r="C28" s="18" t="s">
        <v>137</v>
      </c>
    </row>
    <row r="29" spans="1:3" ht="15.75" customHeight="1" x14ac:dyDescent="0.25">
      <c r="A29" s="16" t="s">
        <v>107</v>
      </c>
      <c r="B29" s="17" t="s">
        <v>108</v>
      </c>
      <c r="C29" s="18" t="s">
        <v>140</v>
      </c>
    </row>
    <row r="30" spans="1:3" ht="15.75" customHeight="1" x14ac:dyDescent="0.25">
      <c r="A30" s="16" t="s">
        <v>109</v>
      </c>
      <c r="B30" s="17" t="s">
        <v>110</v>
      </c>
      <c r="C30" s="18" t="s">
        <v>139</v>
      </c>
    </row>
    <row r="31" spans="1:3" ht="15.75" customHeight="1" x14ac:dyDescent="0.25">
      <c r="A31" s="16" t="s">
        <v>111</v>
      </c>
      <c r="B31" s="17" t="s">
        <v>112</v>
      </c>
      <c r="C31" s="18" t="s">
        <v>137</v>
      </c>
    </row>
    <row r="32" spans="1:3" ht="15.75" customHeight="1" x14ac:dyDescent="0.25">
      <c r="A32" s="16" t="s">
        <v>113</v>
      </c>
      <c r="B32" s="17" t="s">
        <v>114</v>
      </c>
      <c r="C32" s="18" t="s">
        <v>138</v>
      </c>
    </row>
    <row r="33" spans="1:3" ht="15.75" customHeight="1" x14ac:dyDescent="0.25">
      <c r="A33" s="16" t="s">
        <v>115</v>
      </c>
      <c r="B33" s="17" t="s">
        <v>116</v>
      </c>
      <c r="C33" s="18" t="s">
        <v>138</v>
      </c>
    </row>
    <row r="34" spans="1:3" ht="15.75" customHeight="1" x14ac:dyDescent="0.25">
      <c r="A34" s="16" t="s">
        <v>117</v>
      </c>
      <c r="B34" s="17" t="s">
        <v>118</v>
      </c>
      <c r="C34" s="18" t="s">
        <v>140</v>
      </c>
    </row>
    <row r="35" spans="1:3" ht="15.75" customHeight="1" x14ac:dyDescent="0.25">
      <c r="A35" s="16" t="s">
        <v>119</v>
      </c>
      <c r="B35" s="17" t="s">
        <v>120</v>
      </c>
      <c r="C35" s="18" t="s">
        <v>140</v>
      </c>
    </row>
    <row r="36" spans="1:3" ht="15.75" customHeight="1" x14ac:dyDescent="0.25">
      <c r="A36" s="16" t="s">
        <v>121</v>
      </c>
      <c r="B36" s="17" t="s">
        <v>122</v>
      </c>
      <c r="C36" s="18" t="s">
        <v>136</v>
      </c>
    </row>
    <row r="37" spans="1:3" ht="15.75" customHeight="1" x14ac:dyDescent="0.25">
      <c r="A37" s="16" t="s">
        <v>123</v>
      </c>
      <c r="B37" s="17" t="s">
        <v>124</v>
      </c>
      <c r="C37" s="18" t="s">
        <v>136</v>
      </c>
    </row>
    <row r="38" spans="1:3" ht="15.75" customHeight="1" x14ac:dyDescent="0.25">
      <c r="A38" s="16" t="s">
        <v>125</v>
      </c>
      <c r="B38" s="17" t="s">
        <v>126</v>
      </c>
      <c r="C38" s="18" t="s">
        <v>137</v>
      </c>
    </row>
    <row r="39" spans="1:3" ht="15.75" customHeight="1" x14ac:dyDescent="0.25">
      <c r="A39" s="16" t="s">
        <v>127</v>
      </c>
      <c r="B39" s="17" t="s">
        <v>128</v>
      </c>
      <c r="C39" s="18" t="s">
        <v>136</v>
      </c>
    </row>
    <row r="40" spans="1:3" ht="15.75" customHeight="1" x14ac:dyDescent="0.25">
      <c r="A40" s="16" t="s">
        <v>129</v>
      </c>
      <c r="B40" s="17" t="s">
        <v>130</v>
      </c>
      <c r="C40" s="18" t="s">
        <v>137</v>
      </c>
    </row>
    <row r="41" spans="1:3" ht="15.75" customHeight="1" x14ac:dyDescent="0.25">
      <c r="A41" s="16" t="s">
        <v>131</v>
      </c>
      <c r="B41" s="17" t="s">
        <v>132</v>
      </c>
      <c r="C41" s="18" t="s">
        <v>139</v>
      </c>
    </row>
    <row r="42" spans="1:3" ht="15.75" customHeight="1" thickBot="1" x14ac:dyDescent="0.3">
      <c r="A42" s="19" t="s">
        <v>133</v>
      </c>
      <c r="B42" s="20" t="s">
        <v>134</v>
      </c>
      <c r="C42" s="21" t="s">
        <v>140</v>
      </c>
    </row>
    <row r="43" spans="1:3" ht="15.75" customHeight="1" x14ac:dyDescent="0.25">
      <c r="A43" s="22"/>
      <c r="B43" s="22"/>
      <c r="C43" s="22"/>
    </row>
  </sheetData>
  <autoFilter ref="A16:C42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workbookViewId="0"/>
  </sheetViews>
  <sheetFormatPr defaultColWidth="11.42578125" defaultRowHeight="15.75" x14ac:dyDescent="0.25"/>
  <cols>
    <col min="1" max="1" width="11.42578125" style="40"/>
    <col min="2" max="22" width="11.42578125" style="72"/>
    <col min="23" max="16384" width="11.42578125" style="39"/>
  </cols>
  <sheetData>
    <row r="1" spans="1:22" x14ac:dyDescent="0.25">
      <c r="A1" s="1" t="s">
        <v>145</v>
      </c>
    </row>
    <row r="2" spans="1:22" ht="16.5" thickBot="1" x14ac:dyDescent="0.3"/>
    <row r="3" spans="1:22" x14ac:dyDescent="0.25">
      <c r="A3" s="69" t="s">
        <v>143</v>
      </c>
      <c r="B3" s="70" t="s">
        <v>0</v>
      </c>
      <c r="C3" s="70" t="s">
        <v>7</v>
      </c>
      <c r="D3" s="70" t="s">
        <v>10</v>
      </c>
      <c r="E3" s="70" t="s">
        <v>9</v>
      </c>
      <c r="F3" s="70" t="s">
        <v>11</v>
      </c>
      <c r="G3" s="70" t="s">
        <v>12</v>
      </c>
      <c r="H3" s="70" t="s">
        <v>13</v>
      </c>
      <c r="I3" s="70" t="s">
        <v>14</v>
      </c>
      <c r="J3" s="70" t="s">
        <v>1</v>
      </c>
      <c r="K3" s="70" t="s">
        <v>2</v>
      </c>
      <c r="L3" s="70" t="s">
        <v>3</v>
      </c>
      <c r="M3" s="70" t="s">
        <v>4</v>
      </c>
      <c r="N3" s="70" t="s">
        <v>5</v>
      </c>
      <c r="O3" s="70" t="s">
        <v>6</v>
      </c>
      <c r="P3" s="70" t="s">
        <v>8</v>
      </c>
      <c r="Q3" s="70" t="s">
        <v>15</v>
      </c>
      <c r="R3" s="70" t="s">
        <v>141</v>
      </c>
      <c r="S3" s="70" t="s">
        <v>142</v>
      </c>
      <c r="T3" s="70" t="s">
        <v>16</v>
      </c>
      <c r="U3" s="70" t="s">
        <v>17</v>
      </c>
      <c r="V3" s="71" t="s">
        <v>18</v>
      </c>
    </row>
    <row r="4" spans="1:22" x14ac:dyDescent="0.25">
      <c r="A4" s="41">
        <v>5</v>
      </c>
      <c r="B4" s="47"/>
      <c r="C4" s="42"/>
      <c r="D4" s="42"/>
      <c r="E4" s="42"/>
      <c r="F4" s="42"/>
      <c r="G4" s="42"/>
      <c r="H4" s="42"/>
      <c r="I4" s="42"/>
      <c r="J4" s="47"/>
      <c r="K4" s="47"/>
      <c r="L4" s="42">
        <v>0</v>
      </c>
      <c r="M4" s="42"/>
      <c r="N4" s="42"/>
      <c r="O4" s="42"/>
      <c r="P4" s="42"/>
      <c r="Q4" s="42"/>
      <c r="R4" s="42">
        <v>6.173E-2</v>
      </c>
      <c r="S4" s="42">
        <v>9.6769999999999995E-2</v>
      </c>
      <c r="T4" s="42">
        <v>3.9699999999999996E-3</v>
      </c>
      <c r="U4" s="42"/>
      <c r="V4" s="43"/>
    </row>
    <row r="5" spans="1:22" x14ac:dyDescent="0.25">
      <c r="A5" s="41">
        <v>6</v>
      </c>
      <c r="B5" s="47"/>
      <c r="C5" s="42"/>
      <c r="D5" s="42"/>
      <c r="E5" s="42"/>
      <c r="F5" s="42"/>
      <c r="G5" s="42"/>
      <c r="H5" s="42">
        <v>2E-3</v>
      </c>
      <c r="I5" s="42"/>
      <c r="J5" s="42">
        <v>0</v>
      </c>
      <c r="K5" s="47"/>
      <c r="L5" s="42"/>
      <c r="M5" s="42"/>
      <c r="N5" s="42"/>
      <c r="O5" s="42">
        <v>1E-3</v>
      </c>
      <c r="P5" s="42"/>
      <c r="Q5" s="42"/>
      <c r="R5" s="42">
        <v>7.7200000000000003E-3</v>
      </c>
      <c r="S5" s="42">
        <v>1.08E-3</v>
      </c>
      <c r="T5" s="42">
        <v>0.12302</v>
      </c>
      <c r="U5" s="42">
        <v>7.7380000000000004E-2</v>
      </c>
      <c r="V5" s="43"/>
    </row>
    <row r="6" spans="1:22" x14ac:dyDescent="0.25">
      <c r="A6" s="41">
        <v>7</v>
      </c>
      <c r="B6" s="42">
        <v>6.6470000000000001E-2</v>
      </c>
      <c r="C6" s="42">
        <v>0</v>
      </c>
      <c r="D6" s="42"/>
      <c r="E6" s="42"/>
      <c r="F6" s="42"/>
      <c r="G6" s="42">
        <v>9.8999999999999999E-4</v>
      </c>
      <c r="H6" s="42">
        <v>6.9899999999999997E-3</v>
      </c>
      <c r="I6" s="42"/>
      <c r="J6" s="42">
        <v>0</v>
      </c>
      <c r="K6" s="47"/>
      <c r="L6" s="42">
        <v>0</v>
      </c>
      <c r="M6" s="42">
        <v>9.8999999999999999E-4</v>
      </c>
      <c r="N6" s="42"/>
      <c r="O6" s="42">
        <v>0</v>
      </c>
      <c r="P6" s="42"/>
      <c r="Q6" s="42"/>
      <c r="R6" s="42">
        <v>5.4010000000000002E-2</v>
      </c>
      <c r="S6" s="42">
        <v>0.12151000000000001</v>
      </c>
      <c r="T6" s="42">
        <v>0.40178999999999998</v>
      </c>
      <c r="U6" s="42">
        <v>2.9760000000000002E-2</v>
      </c>
      <c r="V6" s="43"/>
    </row>
    <row r="7" spans="1:22" x14ac:dyDescent="0.25">
      <c r="A7" s="41" t="s">
        <v>27</v>
      </c>
      <c r="B7" s="42">
        <v>0</v>
      </c>
      <c r="C7" s="42"/>
      <c r="D7" s="42"/>
      <c r="E7" s="42"/>
      <c r="F7" s="42"/>
      <c r="G7" s="42"/>
      <c r="H7" s="42"/>
      <c r="I7" s="42"/>
      <c r="J7" s="42"/>
      <c r="K7" s="47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</row>
    <row r="8" spans="1:22" x14ac:dyDescent="0.25">
      <c r="A8" s="41">
        <v>8</v>
      </c>
      <c r="B8" s="42">
        <v>7.639E-2</v>
      </c>
      <c r="C8" s="42">
        <v>0</v>
      </c>
      <c r="D8" s="42">
        <v>9.8999999999999999E-4</v>
      </c>
      <c r="E8" s="42">
        <v>0</v>
      </c>
      <c r="F8" s="42"/>
      <c r="G8" s="42">
        <v>8.2339999999999997E-2</v>
      </c>
      <c r="H8" s="42">
        <v>0.22056000000000001</v>
      </c>
      <c r="I8" s="42">
        <v>0</v>
      </c>
      <c r="J8" s="42">
        <v>0</v>
      </c>
      <c r="K8" s="47"/>
      <c r="L8" s="42">
        <v>8.1099999999999992E-3</v>
      </c>
      <c r="M8" s="42">
        <v>3.2739999999999998E-2</v>
      </c>
      <c r="N8" s="42"/>
      <c r="O8" s="42">
        <v>1E-3</v>
      </c>
      <c r="P8" s="42">
        <v>0</v>
      </c>
      <c r="Q8" s="42"/>
      <c r="R8" s="42">
        <v>0.16975000000000001</v>
      </c>
      <c r="S8" s="42">
        <v>0.25591000000000003</v>
      </c>
      <c r="T8" s="42">
        <v>0.23909</v>
      </c>
      <c r="U8" s="42">
        <v>0.26687</v>
      </c>
      <c r="V8" s="43"/>
    </row>
    <row r="9" spans="1:22" x14ac:dyDescent="0.25">
      <c r="A9" s="41" t="s">
        <v>28</v>
      </c>
      <c r="B9" s="47"/>
      <c r="C9" s="42"/>
      <c r="D9" s="42"/>
      <c r="E9" s="42"/>
      <c r="F9" s="42"/>
      <c r="G9" s="42"/>
      <c r="H9" s="42"/>
      <c r="I9" s="42"/>
      <c r="J9" s="42"/>
      <c r="K9" s="47"/>
      <c r="L9" s="42"/>
      <c r="M9" s="42"/>
      <c r="N9" s="42"/>
      <c r="O9" s="42"/>
      <c r="P9" s="42"/>
      <c r="Q9" s="42"/>
      <c r="R9" s="42"/>
      <c r="S9" s="42"/>
      <c r="T9" s="42">
        <v>0</v>
      </c>
      <c r="U9" s="42"/>
      <c r="V9" s="43"/>
    </row>
    <row r="10" spans="1:22" x14ac:dyDescent="0.25">
      <c r="A10" s="41">
        <v>9</v>
      </c>
      <c r="B10" s="42">
        <v>6.0519999999999997E-2</v>
      </c>
      <c r="C10" s="42">
        <v>0</v>
      </c>
      <c r="D10" s="42">
        <v>1.98E-3</v>
      </c>
      <c r="E10" s="42"/>
      <c r="F10" s="42">
        <v>9.8999999999999999E-4</v>
      </c>
      <c r="G10" s="42">
        <v>1.687E-2</v>
      </c>
      <c r="H10" s="42">
        <v>0.11776</v>
      </c>
      <c r="I10" s="42">
        <v>0</v>
      </c>
      <c r="J10" s="42">
        <v>9.8999999999999999E-4</v>
      </c>
      <c r="K10" s="47"/>
      <c r="L10" s="42">
        <v>6.0899999999999999E-3</v>
      </c>
      <c r="M10" s="42">
        <v>0.22619</v>
      </c>
      <c r="N10" s="42">
        <v>0</v>
      </c>
      <c r="O10" s="42">
        <v>2.99E-3</v>
      </c>
      <c r="P10" s="42">
        <v>9.8999999999999999E-4</v>
      </c>
      <c r="Q10" s="42"/>
      <c r="R10" s="42">
        <v>0.13117000000000001</v>
      </c>
      <c r="S10" s="42">
        <v>8.7099999999999997E-2</v>
      </c>
      <c r="T10" s="42">
        <v>0.15972</v>
      </c>
      <c r="U10" s="42">
        <v>0.26290000000000002</v>
      </c>
      <c r="V10" s="43"/>
    </row>
    <row r="11" spans="1:22" x14ac:dyDescent="0.25">
      <c r="A11" s="41" t="s">
        <v>29</v>
      </c>
      <c r="B11" s="42"/>
      <c r="C11" s="42"/>
      <c r="D11" s="42">
        <v>0</v>
      </c>
      <c r="E11" s="42"/>
      <c r="F11" s="42"/>
      <c r="G11" s="42"/>
      <c r="H11" s="42">
        <v>0</v>
      </c>
      <c r="I11" s="42"/>
      <c r="J11" s="42"/>
      <c r="K11" s="47"/>
      <c r="L11" s="42"/>
      <c r="M11" s="42"/>
      <c r="N11" s="42"/>
      <c r="O11" s="42"/>
      <c r="P11" s="42"/>
      <c r="Q11" s="42"/>
      <c r="R11" s="42"/>
      <c r="S11" s="42"/>
      <c r="T11" s="42"/>
      <c r="U11" s="42">
        <v>0</v>
      </c>
      <c r="V11" s="43"/>
    </row>
    <row r="12" spans="1:22" x14ac:dyDescent="0.25">
      <c r="A12" s="41" t="s">
        <v>30</v>
      </c>
      <c r="B12" s="42"/>
      <c r="C12" s="42"/>
      <c r="D12" s="42"/>
      <c r="E12" s="42"/>
      <c r="F12" s="42"/>
      <c r="G12" s="42"/>
      <c r="H12" s="42"/>
      <c r="I12" s="42"/>
      <c r="J12" s="42"/>
      <c r="K12" s="47"/>
      <c r="L12" s="42"/>
      <c r="M12" s="42"/>
      <c r="N12" s="42"/>
      <c r="O12" s="42"/>
      <c r="P12" s="42"/>
      <c r="Q12" s="42"/>
      <c r="R12" s="42"/>
      <c r="S12" s="42"/>
      <c r="T12" s="42">
        <v>6.3490000000000005E-2</v>
      </c>
      <c r="U12" s="42"/>
      <c r="V12" s="43"/>
    </row>
    <row r="13" spans="1:22" x14ac:dyDescent="0.25">
      <c r="A13" s="41">
        <v>10</v>
      </c>
      <c r="B13" s="42">
        <v>0.22817000000000001</v>
      </c>
      <c r="C13" s="42">
        <v>1.7860000000000001E-2</v>
      </c>
      <c r="D13" s="42">
        <v>6.8449999999999997E-2</v>
      </c>
      <c r="E13" s="42"/>
      <c r="F13" s="42"/>
      <c r="G13" s="42">
        <v>5.1589999999999997E-2</v>
      </c>
      <c r="H13" s="42">
        <v>0.32834000000000002</v>
      </c>
      <c r="I13" s="42">
        <v>1.29E-2</v>
      </c>
      <c r="J13" s="42">
        <v>2.98E-3</v>
      </c>
      <c r="K13" s="47"/>
      <c r="L13" s="42">
        <v>2.231E-2</v>
      </c>
      <c r="M13" s="42">
        <v>0.12302</v>
      </c>
      <c r="N13" s="42">
        <v>1E-3</v>
      </c>
      <c r="O13" s="42">
        <v>7.9799999999999992E-3</v>
      </c>
      <c r="P13" s="42">
        <v>5.357E-2</v>
      </c>
      <c r="Q13" s="42"/>
      <c r="R13" s="42">
        <v>0.16203999999999999</v>
      </c>
      <c r="S13" s="42">
        <v>6.0220000000000003E-2</v>
      </c>
      <c r="T13" s="42">
        <v>8.9300000000000004E-3</v>
      </c>
      <c r="U13" s="42">
        <v>9.1270000000000004E-2</v>
      </c>
      <c r="V13" s="43">
        <v>0</v>
      </c>
    </row>
    <row r="14" spans="1:22" x14ac:dyDescent="0.25">
      <c r="A14" s="41" t="s">
        <v>31</v>
      </c>
      <c r="B14" s="42"/>
      <c r="C14" s="42"/>
      <c r="D14" s="42">
        <v>0</v>
      </c>
      <c r="E14" s="42"/>
      <c r="F14" s="42"/>
      <c r="G14" s="42"/>
      <c r="H14" s="42">
        <v>0</v>
      </c>
      <c r="I14" s="42"/>
      <c r="J14" s="42"/>
      <c r="K14" s="47"/>
      <c r="L14" s="42"/>
      <c r="M14" s="42"/>
      <c r="N14" s="42">
        <v>2.99E-3</v>
      </c>
      <c r="O14" s="42"/>
      <c r="P14" s="42"/>
      <c r="Q14" s="42"/>
      <c r="R14" s="42"/>
      <c r="S14" s="42"/>
      <c r="T14" s="42"/>
      <c r="U14" s="42"/>
      <c r="V14" s="43"/>
    </row>
    <row r="15" spans="1:22" x14ac:dyDescent="0.25">
      <c r="A15" s="41" t="s">
        <v>32</v>
      </c>
      <c r="B15" s="42">
        <v>0</v>
      </c>
      <c r="C15" s="42"/>
      <c r="D15" s="42"/>
      <c r="E15" s="42"/>
      <c r="F15" s="42"/>
      <c r="G15" s="42"/>
      <c r="H15" s="42"/>
      <c r="I15" s="42"/>
      <c r="J15" s="42"/>
      <c r="K15" s="47"/>
      <c r="L15" s="42"/>
      <c r="M15" s="42"/>
      <c r="N15" s="42"/>
      <c r="O15" s="42"/>
      <c r="P15" s="42"/>
      <c r="Q15" s="42"/>
      <c r="R15" s="42"/>
      <c r="S15" s="42"/>
      <c r="T15" s="42">
        <v>0</v>
      </c>
      <c r="U15" s="42"/>
      <c r="V15" s="43"/>
    </row>
    <row r="16" spans="1:22" x14ac:dyDescent="0.25">
      <c r="A16" s="41">
        <v>11</v>
      </c>
      <c r="B16" s="42">
        <v>0.23016</v>
      </c>
      <c r="C16" s="42">
        <v>3.671E-2</v>
      </c>
      <c r="D16" s="42">
        <v>0.36806</v>
      </c>
      <c r="E16" s="42"/>
      <c r="F16" s="42">
        <v>9.8999999999999999E-4</v>
      </c>
      <c r="G16" s="42">
        <v>0.19544</v>
      </c>
      <c r="H16" s="42">
        <v>0.20358999999999999</v>
      </c>
      <c r="I16" s="42">
        <v>4.861E-2</v>
      </c>
      <c r="J16" s="42">
        <v>4.7620000000000003E-2</v>
      </c>
      <c r="K16" s="47"/>
      <c r="L16" s="42">
        <v>0.27889999999999998</v>
      </c>
      <c r="M16" s="42">
        <v>0.28770000000000001</v>
      </c>
      <c r="N16" s="42">
        <v>3.9899999999999996E-3</v>
      </c>
      <c r="O16" s="42">
        <v>6.7860000000000004E-2</v>
      </c>
      <c r="P16" s="42">
        <v>0.14582999999999999</v>
      </c>
      <c r="Q16" s="42"/>
      <c r="R16" s="42">
        <v>0.17130000000000001</v>
      </c>
      <c r="S16" s="42">
        <v>6.9889999999999994E-2</v>
      </c>
      <c r="T16" s="42">
        <v>0</v>
      </c>
      <c r="U16" s="42">
        <v>0.25197999999999998</v>
      </c>
      <c r="V16" s="43">
        <v>2.99E-3</v>
      </c>
    </row>
    <row r="17" spans="1:22" x14ac:dyDescent="0.25">
      <c r="A17" s="41" t="s">
        <v>33</v>
      </c>
      <c r="B17" s="42"/>
      <c r="C17" s="42"/>
      <c r="D17" s="42"/>
      <c r="E17" s="42"/>
      <c r="F17" s="42"/>
      <c r="G17" s="42"/>
      <c r="H17" s="42">
        <v>0</v>
      </c>
      <c r="I17" s="42"/>
      <c r="J17" s="42"/>
      <c r="K17" s="47"/>
      <c r="L17" s="42">
        <v>0</v>
      </c>
      <c r="M17" s="42"/>
      <c r="N17" s="42"/>
      <c r="O17" s="42">
        <v>3.9899999999999996E-3</v>
      </c>
      <c r="P17" s="42"/>
      <c r="Q17" s="42"/>
      <c r="R17" s="42"/>
      <c r="S17" s="42"/>
      <c r="T17" s="42"/>
      <c r="U17" s="42"/>
      <c r="V17" s="43"/>
    </row>
    <row r="18" spans="1:22" x14ac:dyDescent="0.25">
      <c r="A18" s="41" t="s">
        <v>34</v>
      </c>
      <c r="B18" s="42"/>
      <c r="C18" s="42"/>
      <c r="D18" s="42">
        <v>3.7699999999999997E-2</v>
      </c>
      <c r="E18" s="42"/>
      <c r="F18" s="42"/>
      <c r="G18" s="42"/>
      <c r="H18" s="42"/>
      <c r="I18" s="42"/>
      <c r="J18" s="42"/>
      <c r="K18" s="47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3"/>
    </row>
    <row r="19" spans="1:22" x14ac:dyDescent="0.25">
      <c r="A19" s="41" t="s">
        <v>35</v>
      </c>
      <c r="B19" s="42"/>
      <c r="C19" s="42"/>
      <c r="D19" s="42"/>
      <c r="E19" s="42"/>
      <c r="F19" s="42"/>
      <c r="G19" s="42"/>
      <c r="H19" s="42"/>
      <c r="I19" s="42"/>
      <c r="J19" s="42"/>
      <c r="K19" s="47"/>
      <c r="L19" s="42"/>
      <c r="M19" s="42"/>
      <c r="N19" s="42"/>
      <c r="O19" s="42"/>
      <c r="P19" s="42"/>
      <c r="Q19" s="42"/>
      <c r="R19" s="42">
        <v>0</v>
      </c>
      <c r="S19" s="42"/>
      <c r="T19" s="42"/>
      <c r="U19" s="42"/>
      <c r="V19" s="43"/>
    </row>
    <row r="20" spans="1:22" x14ac:dyDescent="0.25">
      <c r="A20" s="41">
        <v>12</v>
      </c>
      <c r="B20" s="42">
        <v>0.27282000000000001</v>
      </c>
      <c r="C20" s="42">
        <v>4.9599999999999998E-2</v>
      </c>
      <c r="D20" s="42">
        <v>0.17659</v>
      </c>
      <c r="E20" s="42"/>
      <c r="F20" s="42">
        <v>5.9500000000000004E-3</v>
      </c>
      <c r="G20" s="42">
        <v>0.36012</v>
      </c>
      <c r="H20" s="42">
        <v>0.10778</v>
      </c>
      <c r="I20" s="42">
        <v>9.8210000000000006E-2</v>
      </c>
      <c r="J20" s="42">
        <v>0.14682999999999999</v>
      </c>
      <c r="K20" s="47"/>
      <c r="L20" s="42">
        <v>0.46450000000000002</v>
      </c>
      <c r="M20" s="42">
        <v>0.20238</v>
      </c>
      <c r="N20" s="42">
        <v>3.9919999999999997E-2</v>
      </c>
      <c r="O20" s="42">
        <v>0.11377</v>
      </c>
      <c r="P20" s="42">
        <v>5.5559999999999998E-2</v>
      </c>
      <c r="Q20" s="42"/>
      <c r="R20" s="42">
        <v>0.11883000000000001</v>
      </c>
      <c r="S20" s="42">
        <v>0.11398</v>
      </c>
      <c r="T20" s="42"/>
      <c r="U20" s="42">
        <v>1.984E-2</v>
      </c>
      <c r="V20" s="43">
        <v>2E-3</v>
      </c>
    </row>
    <row r="21" spans="1:22" x14ac:dyDescent="0.25">
      <c r="A21" s="41" t="s">
        <v>36</v>
      </c>
      <c r="B21" s="42"/>
      <c r="C21" s="42"/>
      <c r="D21" s="42"/>
      <c r="E21" s="42"/>
      <c r="F21" s="42"/>
      <c r="G21" s="42"/>
      <c r="H21" s="42">
        <v>0</v>
      </c>
      <c r="I21" s="42"/>
      <c r="J21" s="42"/>
      <c r="K21" s="47"/>
      <c r="L21" s="42"/>
      <c r="M21" s="42"/>
      <c r="N21" s="42">
        <v>2.99E-3</v>
      </c>
      <c r="O21" s="42">
        <v>2.794E-2</v>
      </c>
      <c r="P21" s="42"/>
      <c r="Q21" s="42"/>
      <c r="R21" s="42"/>
      <c r="S21" s="42"/>
      <c r="T21" s="42"/>
      <c r="U21" s="42"/>
      <c r="V21" s="43"/>
    </row>
    <row r="22" spans="1:22" x14ac:dyDescent="0.25">
      <c r="A22" s="41" t="s">
        <v>37</v>
      </c>
      <c r="B22" s="42"/>
      <c r="C22" s="42"/>
      <c r="D22" s="42">
        <v>1.98E-3</v>
      </c>
      <c r="E22" s="42"/>
      <c r="F22" s="42"/>
      <c r="G22" s="42"/>
      <c r="H22" s="42"/>
      <c r="I22" s="42"/>
      <c r="J22" s="42"/>
      <c r="K22" s="47"/>
      <c r="L22" s="42"/>
      <c r="M22" s="42"/>
      <c r="N22" s="42"/>
      <c r="O22" s="42">
        <v>1E-3</v>
      </c>
      <c r="P22" s="42"/>
      <c r="Q22" s="42"/>
      <c r="R22" s="42"/>
      <c r="S22" s="42"/>
      <c r="T22" s="42"/>
      <c r="U22" s="42"/>
      <c r="V22" s="43"/>
    </row>
    <row r="23" spans="1:22" x14ac:dyDescent="0.25">
      <c r="A23" s="41">
        <v>13</v>
      </c>
      <c r="B23" s="42">
        <v>5.4559999999999997E-2</v>
      </c>
      <c r="C23" s="42">
        <v>0.14385000000000001</v>
      </c>
      <c r="D23" s="42">
        <v>4.5629999999999997E-2</v>
      </c>
      <c r="E23" s="42">
        <v>0</v>
      </c>
      <c r="F23" s="42">
        <v>7.9399999999999991E-3</v>
      </c>
      <c r="G23" s="42">
        <v>0.27381</v>
      </c>
      <c r="H23" s="42">
        <v>1.1979999999999999E-2</v>
      </c>
      <c r="I23" s="42">
        <v>0.18848999999999999</v>
      </c>
      <c r="J23" s="42">
        <v>0.28471999999999997</v>
      </c>
      <c r="K23" s="47"/>
      <c r="L23" s="42">
        <v>0.15517</v>
      </c>
      <c r="M23" s="42">
        <v>0.11210000000000001</v>
      </c>
      <c r="N23" s="42">
        <v>4.7899999999999998E-2</v>
      </c>
      <c r="O23" s="42">
        <v>0.28543000000000002</v>
      </c>
      <c r="P23" s="42">
        <v>2.98E-3</v>
      </c>
      <c r="Q23" s="42"/>
      <c r="R23" s="42">
        <v>0.10340000000000001</v>
      </c>
      <c r="S23" s="42">
        <v>0.10215</v>
      </c>
      <c r="T23" s="42"/>
      <c r="U23" s="42">
        <v>0</v>
      </c>
      <c r="V23" s="43">
        <v>1.8960000000000001E-2</v>
      </c>
    </row>
    <row r="24" spans="1:22" x14ac:dyDescent="0.25">
      <c r="A24" s="41" t="s">
        <v>38</v>
      </c>
      <c r="B24" s="42"/>
      <c r="C24" s="42"/>
      <c r="D24" s="42"/>
      <c r="E24" s="42"/>
      <c r="F24" s="42"/>
      <c r="G24" s="42"/>
      <c r="H24" s="42"/>
      <c r="I24" s="42"/>
      <c r="J24" s="42"/>
      <c r="K24" s="47"/>
      <c r="L24" s="42"/>
      <c r="M24" s="42"/>
      <c r="N24" s="42">
        <v>1.397E-2</v>
      </c>
      <c r="O24" s="42">
        <v>5.7880000000000001E-2</v>
      </c>
      <c r="P24" s="42"/>
      <c r="Q24" s="42"/>
      <c r="R24" s="42"/>
      <c r="S24" s="42"/>
      <c r="T24" s="42"/>
      <c r="U24" s="42"/>
      <c r="V24" s="43"/>
    </row>
    <row r="25" spans="1:22" x14ac:dyDescent="0.25">
      <c r="A25" s="41" t="s">
        <v>39</v>
      </c>
      <c r="B25" s="42"/>
      <c r="C25" s="42"/>
      <c r="D25" s="42">
        <v>1.98E-3</v>
      </c>
      <c r="E25" s="42"/>
      <c r="F25" s="42"/>
      <c r="G25" s="42"/>
      <c r="H25" s="42"/>
      <c r="I25" s="42"/>
      <c r="J25" s="42">
        <v>0</v>
      </c>
      <c r="K25" s="47"/>
      <c r="L25" s="42"/>
      <c r="M25" s="42"/>
      <c r="N25" s="42">
        <v>0</v>
      </c>
      <c r="O25" s="42"/>
      <c r="P25" s="42"/>
      <c r="Q25" s="42"/>
      <c r="R25" s="42"/>
      <c r="S25" s="42"/>
      <c r="T25" s="42"/>
      <c r="U25" s="42"/>
      <c r="V25" s="43"/>
    </row>
    <row r="26" spans="1:22" x14ac:dyDescent="0.25">
      <c r="A26" s="41">
        <v>14</v>
      </c>
      <c r="B26" s="42">
        <v>1.091E-2</v>
      </c>
      <c r="C26" s="42">
        <v>0.26785999999999999</v>
      </c>
      <c r="D26" s="42">
        <v>0.26687</v>
      </c>
      <c r="E26" s="42">
        <v>9.8999999999999999E-4</v>
      </c>
      <c r="F26" s="42">
        <v>8.3330000000000001E-2</v>
      </c>
      <c r="G26" s="42">
        <v>1.5869999999999999E-2</v>
      </c>
      <c r="H26" s="42">
        <v>1E-3</v>
      </c>
      <c r="I26" s="42">
        <v>0.35217999999999999</v>
      </c>
      <c r="J26" s="42">
        <v>0.26488</v>
      </c>
      <c r="K26" s="42">
        <v>3.98E-3</v>
      </c>
      <c r="L26" s="42">
        <v>5.9839999999999997E-2</v>
      </c>
      <c r="M26" s="42">
        <v>1.4880000000000001E-2</v>
      </c>
      <c r="N26" s="42">
        <v>4.8899999999999999E-2</v>
      </c>
      <c r="O26" s="42">
        <v>0.20957999999999999</v>
      </c>
      <c r="P26" s="42">
        <v>8.4330000000000002E-2</v>
      </c>
      <c r="Q26" s="42"/>
      <c r="R26" s="42">
        <v>1.0800000000000001E-2</v>
      </c>
      <c r="S26" s="42">
        <v>5.484E-2</v>
      </c>
      <c r="T26" s="42"/>
      <c r="U26" s="42">
        <v>0</v>
      </c>
      <c r="V26" s="43">
        <v>5.4890000000000001E-2</v>
      </c>
    </row>
    <row r="27" spans="1:22" x14ac:dyDescent="0.25">
      <c r="A27" s="41" t="s">
        <v>40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>
        <v>2.99E-3</v>
      </c>
      <c r="O27" s="42">
        <v>6.0879999999999997E-2</v>
      </c>
      <c r="P27" s="42"/>
      <c r="Q27" s="42"/>
      <c r="R27" s="42">
        <v>0</v>
      </c>
      <c r="S27" s="42"/>
      <c r="T27" s="42"/>
      <c r="U27" s="42"/>
      <c r="V27" s="43"/>
    </row>
    <row r="28" spans="1:22" x14ac:dyDescent="0.25">
      <c r="A28" s="41" t="s">
        <v>41</v>
      </c>
      <c r="B28" s="42"/>
      <c r="C28" s="42">
        <v>2.98E-3</v>
      </c>
      <c r="D28" s="42">
        <v>1.98E-3</v>
      </c>
      <c r="E28" s="42"/>
      <c r="F28" s="42"/>
      <c r="G28" s="42"/>
      <c r="H28" s="42"/>
      <c r="I28" s="42"/>
      <c r="J28" s="42"/>
      <c r="K28" s="42"/>
      <c r="L28" s="42"/>
      <c r="M28" s="42"/>
      <c r="N28" s="42">
        <v>0</v>
      </c>
      <c r="O28" s="42"/>
      <c r="P28" s="42"/>
      <c r="Q28" s="42"/>
      <c r="R28" s="42"/>
      <c r="S28" s="42"/>
      <c r="T28" s="42"/>
      <c r="U28" s="42"/>
      <c r="V28" s="43"/>
    </row>
    <row r="29" spans="1:22" x14ac:dyDescent="0.25">
      <c r="A29" s="41" t="s">
        <v>42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3">
        <v>2E-3</v>
      </c>
    </row>
    <row r="30" spans="1:22" x14ac:dyDescent="0.25">
      <c r="A30" s="41">
        <v>15</v>
      </c>
      <c r="B30" s="42">
        <v>0</v>
      </c>
      <c r="C30" s="42">
        <v>0.17857000000000001</v>
      </c>
      <c r="D30" s="42">
        <v>2.3810000000000001E-2</v>
      </c>
      <c r="E30" s="42">
        <v>4.96E-3</v>
      </c>
      <c r="F30" s="42">
        <v>0.28372999999999998</v>
      </c>
      <c r="G30" s="42">
        <v>1.98E-3</v>
      </c>
      <c r="H30" s="42"/>
      <c r="I30" s="42">
        <v>0.21429000000000001</v>
      </c>
      <c r="J30" s="42">
        <v>0.16964000000000001</v>
      </c>
      <c r="K30" s="42">
        <v>7.1569999999999995E-2</v>
      </c>
      <c r="L30" s="42">
        <v>5.0699999999999999E-3</v>
      </c>
      <c r="M30" s="42">
        <v>0</v>
      </c>
      <c r="N30" s="42">
        <v>0.1487</v>
      </c>
      <c r="O30" s="42">
        <v>6.3869999999999996E-2</v>
      </c>
      <c r="P30" s="42">
        <v>0.21131</v>
      </c>
      <c r="Q30" s="42">
        <v>1E-3</v>
      </c>
      <c r="R30" s="42">
        <v>6.1700000000000001E-3</v>
      </c>
      <c r="S30" s="42">
        <v>3.1179999999999999E-2</v>
      </c>
      <c r="T30" s="42"/>
      <c r="U30" s="42"/>
      <c r="V30" s="43">
        <v>0.24651000000000001</v>
      </c>
    </row>
    <row r="31" spans="1:22" x14ac:dyDescent="0.25">
      <c r="A31" s="41" t="s">
        <v>43</v>
      </c>
      <c r="B31" s="47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>
        <v>0</v>
      </c>
      <c r="P31" s="42"/>
      <c r="Q31" s="42"/>
      <c r="R31" s="42"/>
      <c r="S31" s="42"/>
      <c r="T31" s="42"/>
      <c r="U31" s="42"/>
      <c r="V31" s="43"/>
    </row>
    <row r="32" spans="1:22" x14ac:dyDescent="0.25">
      <c r="A32" s="41" t="s">
        <v>44</v>
      </c>
      <c r="B32" s="47"/>
      <c r="C32" s="42"/>
      <c r="D32" s="42"/>
      <c r="E32" s="42"/>
      <c r="F32" s="42">
        <v>1.98E-3</v>
      </c>
      <c r="G32" s="42"/>
      <c r="H32" s="42"/>
      <c r="I32" s="42"/>
      <c r="J32" s="42"/>
      <c r="K32" s="42"/>
      <c r="L32" s="42"/>
      <c r="M32" s="42"/>
      <c r="N32" s="42">
        <v>1E-3</v>
      </c>
      <c r="O32" s="42">
        <v>5.7880000000000001E-2</v>
      </c>
      <c r="P32" s="42"/>
      <c r="Q32" s="42"/>
      <c r="R32" s="42"/>
      <c r="S32" s="42"/>
      <c r="T32" s="42"/>
      <c r="U32" s="42"/>
      <c r="V32" s="43"/>
    </row>
    <row r="33" spans="1:22" x14ac:dyDescent="0.25">
      <c r="A33" s="41" t="s">
        <v>45</v>
      </c>
      <c r="B33" s="47"/>
      <c r="C33" s="42">
        <v>1.389E-2</v>
      </c>
      <c r="D33" s="42"/>
      <c r="E33" s="42"/>
      <c r="F33" s="42"/>
      <c r="G33" s="42"/>
      <c r="H33" s="42"/>
      <c r="I33" s="42"/>
      <c r="J33" s="42">
        <v>0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/>
    </row>
    <row r="34" spans="1:22" x14ac:dyDescent="0.25">
      <c r="A34" s="41" t="s">
        <v>46</v>
      </c>
      <c r="B34" s="47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3">
        <v>0</v>
      </c>
    </row>
    <row r="35" spans="1:22" x14ac:dyDescent="0.25">
      <c r="A35" s="41">
        <v>16</v>
      </c>
      <c r="B35" s="47"/>
      <c r="C35" s="42">
        <v>0.10714</v>
      </c>
      <c r="D35" s="42">
        <v>3.9699999999999996E-3</v>
      </c>
      <c r="E35" s="42">
        <v>4.2659999999999997E-2</v>
      </c>
      <c r="F35" s="42">
        <v>0.35416999999999998</v>
      </c>
      <c r="G35" s="42">
        <v>9.8999999999999999E-4</v>
      </c>
      <c r="H35" s="42"/>
      <c r="I35" s="42">
        <v>7.1429999999999993E-2</v>
      </c>
      <c r="J35" s="42">
        <v>6.5479999999999997E-2</v>
      </c>
      <c r="K35" s="42">
        <v>6.6600000000000006E-2</v>
      </c>
      <c r="L35" s="42"/>
      <c r="M35" s="42"/>
      <c r="N35" s="42">
        <v>0.17565</v>
      </c>
      <c r="O35" s="42">
        <v>4.9899999999999996E-3</v>
      </c>
      <c r="P35" s="42">
        <v>0.15972</v>
      </c>
      <c r="Q35" s="42">
        <v>0</v>
      </c>
      <c r="R35" s="42">
        <v>3.0899999999999999E-3</v>
      </c>
      <c r="S35" s="42">
        <v>5.3800000000000002E-3</v>
      </c>
      <c r="T35" s="42"/>
      <c r="U35" s="42"/>
      <c r="V35" s="43">
        <v>0.24152000000000001</v>
      </c>
    </row>
    <row r="36" spans="1:22" x14ac:dyDescent="0.25">
      <c r="A36" s="41" t="s">
        <v>47</v>
      </c>
      <c r="B36" s="47"/>
      <c r="C36" s="42"/>
      <c r="D36" s="42"/>
      <c r="E36" s="42"/>
      <c r="F36" s="42">
        <v>9.8999999999999999E-4</v>
      </c>
      <c r="G36" s="42"/>
      <c r="H36" s="42"/>
      <c r="I36" s="42"/>
      <c r="J36" s="42"/>
      <c r="K36" s="42">
        <v>9.8999999999999999E-4</v>
      </c>
      <c r="L36" s="42"/>
      <c r="M36" s="42"/>
      <c r="N36" s="42"/>
      <c r="O36" s="42">
        <v>2.5950000000000001E-2</v>
      </c>
      <c r="P36" s="42"/>
      <c r="Q36" s="42">
        <v>1E-3</v>
      </c>
      <c r="R36" s="42"/>
      <c r="S36" s="42"/>
      <c r="T36" s="42"/>
      <c r="U36" s="42"/>
      <c r="V36" s="43"/>
    </row>
    <row r="37" spans="1:22" x14ac:dyDescent="0.25">
      <c r="A37" s="41" t="s">
        <v>48</v>
      </c>
      <c r="B37" s="47"/>
      <c r="C37" s="42">
        <v>0.10813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>
        <v>1E-3</v>
      </c>
      <c r="O37" s="42"/>
      <c r="P37" s="42"/>
      <c r="Q37" s="42"/>
      <c r="R37" s="42"/>
      <c r="S37" s="42"/>
      <c r="T37" s="42"/>
      <c r="U37" s="42"/>
      <c r="V37" s="43"/>
    </row>
    <row r="38" spans="1:22" x14ac:dyDescent="0.25">
      <c r="A38" s="41">
        <v>17</v>
      </c>
      <c r="B38" s="47"/>
      <c r="C38" s="42">
        <v>2.6790000000000001E-2</v>
      </c>
      <c r="D38" s="42"/>
      <c r="E38" s="42">
        <v>0.10714</v>
      </c>
      <c r="F38" s="42">
        <v>0.20535999999999999</v>
      </c>
      <c r="G38" s="42"/>
      <c r="H38" s="42"/>
      <c r="I38" s="42">
        <v>1.29E-2</v>
      </c>
      <c r="J38" s="42">
        <v>1.687E-2</v>
      </c>
      <c r="K38" s="42">
        <v>0.15507000000000001</v>
      </c>
      <c r="L38" s="42"/>
      <c r="M38" s="42"/>
      <c r="N38" s="42">
        <v>0.18362999999999999</v>
      </c>
      <c r="O38" s="42">
        <v>0</v>
      </c>
      <c r="P38" s="42">
        <v>0.25496000000000002</v>
      </c>
      <c r="Q38" s="42">
        <v>4.0200000000000001E-3</v>
      </c>
      <c r="R38" s="42">
        <v>0</v>
      </c>
      <c r="S38" s="42">
        <v>0</v>
      </c>
      <c r="T38" s="42"/>
      <c r="U38" s="42"/>
      <c r="V38" s="43">
        <v>0.1986</v>
      </c>
    </row>
    <row r="39" spans="1:22" x14ac:dyDescent="0.25">
      <c r="A39" s="41" t="s">
        <v>49</v>
      </c>
      <c r="B39" s="47"/>
      <c r="C39" s="42">
        <v>0</v>
      </c>
      <c r="D39" s="42"/>
      <c r="E39" s="42"/>
      <c r="F39" s="42"/>
      <c r="G39" s="42"/>
      <c r="H39" s="42"/>
      <c r="I39" s="42"/>
      <c r="J39" s="42"/>
      <c r="K39" s="42">
        <v>4.9699999999999996E-3</v>
      </c>
      <c r="L39" s="42"/>
      <c r="M39" s="42"/>
      <c r="N39" s="42"/>
      <c r="O39" s="42">
        <v>5.9899999999999997E-3</v>
      </c>
      <c r="P39" s="42"/>
      <c r="Q39" s="42"/>
      <c r="R39" s="42"/>
      <c r="S39" s="42"/>
      <c r="T39" s="42"/>
      <c r="U39" s="42"/>
      <c r="V39" s="43"/>
    </row>
    <row r="40" spans="1:22" x14ac:dyDescent="0.25">
      <c r="A40" s="41" t="s">
        <v>50</v>
      </c>
      <c r="B40" s="47"/>
      <c r="C40" s="42">
        <v>2.282E-2</v>
      </c>
      <c r="D40" s="42"/>
      <c r="E40" s="42"/>
      <c r="F40" s="42"/>
      <c r="G40" s="42"/>
      <c r="H40" s="42"/>
      <c r="I40" s="42"/>
      <c r="J40" s="42"/>
      <c r="K40" s="42">
        <v>0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</row>
    <row r="41" spans="1:22" x14ac:dyDescent="0.25">
      <c r="A41" s="41">
        <v>18</v>
      </c>
      <c r="B41" s="47"/>
      <c r="C41" s="42">
        <v>1.98E-3</v>
      </c>
      <c r="D41" s="42"/>
      <c r="E41" s="42">
        <v>3.175E-2</v>
      </c>
      <c r="F41" s="42">
        <v>5.0599999999999999E-2</v>
      </c>
      <c r="G41" s="42"/>
      <c r="H41" s="42"/>
      <c r="I41" s="42">
        <v>9.8999999999999999E-4</v>
      </c>
      <c r="J41" s="42">
        <v>0</v>
      </c>
      <c r="K41" s="42">
        <v>0.29125000000000001</v>
      </c>
      <c r="L41" s="42"/>
      <c r="M41" s="42"/>
      <c r="N41" s="42">
        <v>0.13672999999999999</v>
      </c>
      <c r="O41" s="42"/>
      <c r="P41" s="42">
        <v>2.579E-2</v>
      </c>
      <c r="Q41" s="42">
        <v>6.0200000000000002E-3</v>
      </c>
      <c r="R41" s="42"/>
      <c r="S41" s="42"/>
      <c r="T41" s="42"/>
      <c r="U41" s="42"/>
      <c r="V41" s="43">
        <v>0.13672999999999999</v>
      </c>
    </row>
    <row r="42" spans="1:22" x14ac:dyDescent="0.25">
      <c r="A42" s="41" t="s">
        <v>51</v>
      </c>
      <c r="B42" s="47"/>
      <c r="C42" s="42"/>
      <c r="D42" s="42"/>
      <c r="E42" s="42"/>
      <c r="F42" s="42"/>
      <c r="G42" s="42"/>
      <c r="H42" s="42"/>
      <c r="I42" s="42"/>
      <c r="J42" s="42"/>
      <c r="K42" s="42">
        <v>2.98E-3</v>
      </c>
      <c r="L42" s="42"/>
      <c r="M42" s="42"/>
      <c r="N42" s="42">
        <v>0</v>
      </c>
      <c r="O42" s="42">
        <v>0</v>
      </c>
      <c r="P42" s="42"/>
      <c r="Q42" s="42">
        <v>1.406E-2</v>
      </c>
      <c r="R42" s="42"/>
      <c r="S42" s="42"/>
      <c r="T42" s="42"/>
      <c r="U42" s="42"/>
      <c r="V42" s="43"/>
    </row>
    <row r="43" spans="1:22" x14ac:dyDescent="0.25">
      <c r="A43" s="41" t="s">
        <v>52</v>
      </c>
      <c r="B43" s="47"/>
      <c r="C43" s="42">
        <v>1.8849999999999999E-2</v>
      </c>
      <c r="D43" s="42"/>
      <c r="E43" s="42"/>
      <c r="F43" s="42"/>
      <c r="G43" s="42"/>
      <c r="H43" s="42"/>
      <c r="I43" s="42"/>
      <c r="J43" s="42"/>
      <c r="K43" s="42">
        <v>0</v>
      </c>
      <c r="L43" s="42"/>
      <c r="M43" s="42"/>
      <c r="N43" s="42"/>
      <c r="O43" s="42"/>
      <c r="P43" s="42"/>
      <c r="Q43" s="42">
        <v>0</v>
      </c>
      <c r="R43" s="42"/>
      <c r="S43" s="42"/>
      <c r="T43" s="42"/>
      <c r="U43" s="42"/>
      <c r="V43" s="43">
        <v>0</v>
      </c>
    </row>
    <row r="44" spans="1:22" x14ac:dyDescent="0.25">
      <c r="A44" s="41">
        <v>19</v>
      </c>
      <c r="B44" s="47"/>
      <c r="C44" s="42">
        <v>0</v>
      </c>
      <c r="D44" s="42"/>
      <c r="E44" s="42">
        <v>0.17757999999999999</v>
      </c>
      <c r="F44" s="42">
        <v>3.9699999999999996E-3</v>
      </c>
      <c r="G44" s="42"/>
      <c r="H44" s="42"/>
      <c r="I44" s="42"/>
      <c r="J44" s="42">
        <v>0</v>
      </c>
      <c r="K44" s="42">
        <v>0.17296</v>
      </c>
      <c r="L44" s="42"/>
      <c r="M44" s="42"/>
      <c r="N44" s="42">
        <v>0.1018</v>
      </c>
      <c r="O44" s="42"/>
      <c r="P44" s="42">
        <v>1.98E-3</v>
      </c>
      <c r="Q44" s="42">
        <v>5.4219999999999997E-2</v>
      </c>
      <c r="R44" s="42"/>
      <c r="S44" s="42"/>
      <c r="T44" s="42"/>
      <c r="U44" s="42"/>
      <c r="V44" s="43">
        <v>6.0879999999999997E-2</v>
      </c>
    </row>
    <row r="45" spans="1:22" x14ac:dyDescent="0.25">
      <c r="A45" s="41" t="s">
        <v>53</v>
      </c>
      <c r="B45" s="47"/>
      <c r="C45" s="42"/>
      <c r="D45" s="42"/>
      <c r="E45" s="42"/>
      <c r="F45" s="42"/>
      <c r="G45" s="42"/>
      <c r="H45" s="42"/>
      <c r="I45" s="42"/>
      <c r="J45" s="47"/>
      <c r="K45" s="42">
        <v>7.9500000000000005E-3</v>
      </c>
      <c r="L45" s="42"/>
      <c r="M45" s="42"/>
      <c r="N45" s="42"/>
      <c r="O45" s="42"/>
      <c r="P45" s="42"/>
      <c r="Q45" s="42">
        <v>5.0200000000000002E-3</v>
      </c>
      <c r="R45" s="42"/>
      <c r="S45" s="42"/>
      <c r="T45" s="42"/>
      <c r="U45" s="42"/>
      <c r="V45" s="43"/>
    </row>
    <row r="46" spans="1:22" x14ac:dyDescent="0.25">
      <c r="A46" s="41" t="s">
        <v>54</v>
      </c>
      <c r="B46" s="47"/>
      <c r="C46" s="42">
        <v>2.98E-3</v>
      </c>
      <c r="D46" s="42"/>
      <c r="E46" s="42"/>
      <c r="F46" s="42"/>
      <c r="G46" s="42"/>
      <c r="H46" s="42"/>
      <c r="I46" s="42"/>
      <c r="J46" s="47"/>
      <c r="K46" s="42">
        <v>9.8999999999999999E-4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/>
    </row>
    <row r="47" spans="1:22" x14ac:dyDescent="0.25">
      <c r="A47" s="41">
        <v>20</v>
      </c>
      <c r="B47" s="47"/>
      <c r="C47" s="42"/>
      <c r="D47" s="42"/>
      <c r="E47" s="42">
        <v>6.8449999999999997E-2</v>
      </c>
      <c r="F47" s="42">
        <v>0</v>
      </c>
      <c r="G47" s="42"/>
      <c r="H47" s="42"/>
      <c r="I47" s="42"/>
      <c r="J47" s="47"/>
      <c r="K47" s="42">
        <v>0.11133</v>
      </c>
      <c r="L47" s="42"/>
      <c r="M47" s="42"/>
      <c r="N47" s="42">
        <v>4.7899999999999998E-2</v>
      </c>
      <c r="O47" s="42"/>
      <c r="P47" s="42">
        <v>1.98E-3</v>
      </c>
      <c r="Q47" s="42">
        <v>4.1160000000000002E-2</v>
      </c>
      <c r="R47" s="42"/>
      <c r="S47" s="42"/>
      <c r="T47" s="42"/>
      <c r="U47" s="42"/>
      <c r="V47" s="43">
        <v>3.0939999999999999E-2</v>
      </c>
    </row>
    <row r="48" spans="1:22" x14ac:dyDescent="0.25">
      <c r="A48" s="41" t="s">
        <v>55</v>
      </c>
      <c r="B48" s="47"/>
      <c r="C48" s="42"/>
      <c r="D48" s="42"/>
      <c r="E48" s="42"/>
      <c r="F48" s="42"/>
      <c r="G48" s="42"/>
      <c r="H48" s="42"/>
      <c r="I48" s="42"/>
      <c r="J48" s="47"/>
      <c r="K48" s="42">
        <v>1.99E-3</v>
      </c>
      <c r="L48" s="42"/>
      <c r="M48" s="42"/>
      <c r="N48" s="42">
        <v>0</v>
      </c>
      <c r="O48" s="42"/>
      <c r="P48" s="42"/>
      <c r="Q48" s="42">
        <v>0</v>
      </c>
      <c r="R48" s="42"/>
      <c r="S48" s="42"/>
      <c r="T48" s="42"/>
      <c r="U48" s="42"/>
      <c r="V48" s="43"/>
    </row>
    <row r="49" spans="1:22" x14ac:dyDescent="0.25">
      <c r="A49" s="41" t="s">
        <v>56</v>
      </c>
      <c r="B49" s="47"/>
      <c r="C49" s="42">
        <v>0</v>
      </c>
      <c r="D49" s="42"/>
      <c r="E49" s="42"/>
      <c r="F49" s="42"/>
      <c r="G49" s="42"/>
      <c r="H49" s="42"/>
      <c r="I49" s="42"/>
      <c r="J49" s="47"/>
      <c r="K49" s="42">
        <v>0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/>
    </row>
    <row r="50" spans="1:22" x14ac:dyDescent="0.25">
      <c r="A50" s="41">
        <v>21</v>
      </c>
      <c r="B50" s="47"/>
      <c r="C50" s="42"/>
      <c r="D50" s="42"/>
      <c r="E50" s="42">
        <v>0.14881</v>
      </c>
      <c r="F50" s="42"/>
      <c r="G50" s="42"/>
      <c r="H50" s="42"/>
      <c r="I50" s="42"/>
      <c r="J50" s="47"/>
      <c r="K50" s="42">
        <v>5.6660000000000002E-2</v>
      </c>
      <c r="L50" s="42"/>
      <c r="M50" s="42"/>
      <c r="N50" s="42">
        <v>2.196E-2</v>
      </c>
      <c r="O50" s="42"/>
      <c r="P50" s="42">
        <v>9.8999999999999999E-4</v>
      </c>
      <c r="Q50" s="42">
        <v>9.0359999999999996E-2</v>
      </c>
      <c r="R50" s="42"/>
      <c r="S50" s="42"/>
      <c r="T50" s="42"/>
      <c r="U50" s="42"/>
      <c r="V50" s="43">
        <v>2E-3</v>
      </c>
    </row>
    <row r="51" spans="1:22" x14ac:dyDescent="0.25">
      <c r="A51" s="41" t="s">
        <v>57</v>
      </c>
      <c r="B51" s="47"/>
      <c r="C51" s="42"/>
      <c r="D51" s="42"/>
      <c r="E51" s="42"/>
      <c r="F51" s="42"/>
      <c r="G51" s="42"/>
      <c r="H51" s="42"/>
      <c r="I51" s="42"/>
      <c r="J51" s="47"/>
      <c r="K51" s="42"/>
      <c r="L51" s="42"/>
      <c r="M51" s="42"/>
      <c r="N51" s="42"/>
      <c r="O51" s="42"/>
      <c r="P51" s="42"/>
      <c r="Q51" s="42">
        <v>2.0100000000000001E-3</v>
      </c>
      <c r="R51" s="42"/>
      <c r="S51" s="42"/>
      <c r="T51" s="42"/>
      <c r="U51" s="42"/>
      <c r="V51" s="43"/>
    </row>
    <row r="52" spans="1:22" x14ac:dyDescent="0.25">
      <c r="A52" s="41">
        <v>22</v>
      </c>
      <c r="B52" s="47"/>
      <c r="C52" s="42"/>
      <c r="D52" s="42"/>
      <c r="E52" s="42">
        <v>0.16964000000000001</v>
      </c>
      <c r="F52" s="42"/>
      <c r="G52" s="42"/>
      <c r="H52" s="42"/>
      <c r="I52" s="42"/>
      <c r="J52" s="47"/>
      <c r="K52" s="42">
        <v>2.2859999999999998E-2</v>
      </c>
      <c r="L52" s="42"/>
      <c r="M52" s="42"/>
      <c r="N52" s="42">
        <v>1.098E-2</v>
      </c>
      <c r="O52" s="42"/>
      <c r="P52" s="42"/>
      <c r="Q52" s="42">
        <v>0.1988</v>
      </c>
      <c r="R52" s="42"/>
      <c r="S52" s="42"/>
      <c r="T52" s="42"/>
      <c r="U52" s="42"/>
      <c r="V52" s="43">
        <v>2E-3</v>
      </c>
    </row>
    <row r="53" spans="1:22" x14ac:dyDescent="0.25">
      <c r="A53" s="41" t="s">
        <v>58</v>
      </c>
      <c r="B53" s="47"/>
      <c r="C53" s="42"/>
      <c r="D53" s="42"/>
      <c r="E53" s="42"/>
      <c r="F53" s="42"/>
      <c r="G53" s="42"/>
      <c r="H53" s="42"/>
      <c r="I53" s="42"/>
      <c r="J53" s="47"/>
      <c r="K53" s="42"/>
      <c r="L53" s="42"/>
      <c r="M53" s="42"/>
      <c r="N53" s="42"/>
      <c r="O53" s="42"/>
      <c r="P53" s="42"/>
      <c r="Q53" s="42">
        <v>0</v>
      </c>
      <c r="R53" s="42"/>
      <c r="S53" s="42"/>
      <c r="T53" s="42"/>
      <c r="U53" s="42"/>
      <c r="V53" s="43"/>
    </row>
    <row r="54" spans="1:22" x14ac:dyDescent="0.25">
      <c r="A54" s="41">
        <v>23</v>
      </c>
      <c r="B54" s="47"/>
      <c r="C54" s="42"/>
      <c r="D54" s="42"/>
      <c r="E54" s="42">
        <v>9.9210000000000007E-2</v>
      </c>
      <c r="F54" s="42"/>
      <c r="G54" s="42"/>
      <c r="H54" s="42"/>
      <c r="I54" s="42"/>
      <c r="J54" s="47"/>
      <c r="K54" s="42">
        <v>2.087E-2</v>
      </c>
      <c r="L54" s="42"/>
      <c r="M54" s="42"/>
      <c r="N54" s="42">
        <v>4.9899999999999996E-3</v>
      </c>
      <c r="O54" s="42"/>
      <c r="P54" s="42"/>
      <c r="Q54" s="42">
        <v>0.17871000000000001</v>
      </c>
      <c r="R54" s="42"/>
      <c r="S54" s="42"/>
      <c r="T54" s="42"/>
      <c r="U54" s="42"/>
      <c r="V54" s="43"/>
    </row>
    <row r="55" spans="1:22" x14ac:dyDescent="0.25">
      <c r="A55" s="41" t="s">
        <v>59</v>
      </c>
      <c r="B55" s="47"/>
      <c r="C55" s="42"/>
      <c r="D55" s="42"/>
      <c r="E55" s="42"/>
      <c r="F55" s="42"/>
      <c r="G55" s="42"/>
      <c r="H55" s="42"/>
      <c r="I55" s="42"/>
      <c r="J55" s="47"/>
      <c r="K55" s="42"/>
      <c r="L55" s="42"/>
      <c r="M55" s="42"/>
      <c r="N55" s="42"/>
      <c r="O55" s="42"/>
      <c r="P55" s="42"/>
      <c r="Q55" s="42">
        <v>1E-3</v>
      </c>
      <c r="R55" s="42"/>
      <c r="S55" s="42"/>
      <c r="T55" s="42"/>
      <c r="U55" s="42"/>
      <c r="V55" s="43"/>
    </row>
    <row r="56" spans="1:22" x14ac:dyDescent="0.25">
      <c r="A56" s="41" t="s">
        <v>60</v>
      </c>
      <c r="B56" s="47"/>
      <c r="C56" s="42"/>
      <c r="D56" s="42"/>
      <c r="E56" s="42"/>
      <c r="F56" s="42"/>
      <c r="G56" s="42"/>
      <c r="H56" s="42"/>
      <c r="I56" s="42"/>
      <c r="J56" s="47"/>
      <c r="K56" s="42"/>
      <c r="L56" s="42"/>
      <c r="M56" s="42"/>
      <c r="N56" s="42"/>
      <c r="O56" s="42"/>
      <c r="P56" s="42"/>
      <c r="Q56" s="42">
        <v>1E-3</v>
      </c>
      <c r="R56" s="42"/>
      <c r="S56" s="42"/>
      <c r="T56" s="42"/>
      <c r="U56" s="42"/>
      <c r="V56" s="43"/>
    </row>
    <row r="57" spans="1:22" x14ac:dyDescent="0.25">
      <c r="A57" s="41">
        <v>24</v>
      </c>
      <c r="B57" s="47"/>
      <c r="C57" s="42"/>
      <c r="D57" s="42"/>
      <c r="E57" s="42">
        <v>7.4399999999999994E-2</v>
      </c>
      <c r="F57" s="42"/>
      <c r="G57" s="42"/>
      <c r="H57" s="42"/>
      <c r="I57" s="42"/>
      <c r="J57" s="47"/>
      <c r="K57" s="42">
        <v>4.9699999999999996E-3</v>
      </c>
      <c r="L57" s="42"/>
      <c r="M57" s="42"/>
      <c r="N57" s="42">
        <v>1E-3</v>
      </c>
      <c r="O57" s="42"/>
      <c r="P57" s="42"/>
      <c r="Q57" s="42">
        <v>0.16466</v>
      </c>
      <c r="R57" s="42"/>
      <c r="S57" s="42"/>
      <c r="T57" s="42"/>
      <c r="U57" s="42"/>
      <c r="V57" s="43"/>
    </row>
    <row r="58" spans="1:22" x14ac:dyDescent="0.25">
      <c r="A58" s="41" t="s">
        <v>61</v>
      </c>
      <c r="B58" s="47"/>
      <c r="C58" s="42"/>
      <c r="D58" s="42"/>
      <c r="E58" s="42"/>
      <c r="F58" s="42"/>
      <c r="G58" s="42"/>
      <c r="H58" s="42"/>
      <c r="I58" s="42"/>
      <c r="J58" s="47"/>
      <c r="K58" s="42"/>
      <c r="L58" s="42"/>
      <c r="M58" s="42"/>
      <c r="N58" s="42"/>
      <c r="O58" s="42"/>
      <c r="P58" s="42"/>
      <c r="Q58" s="42">
        <v>1E-3</v>
      </c>
      <c r="R58" s="42"/>
      <c r="S58" s="42"/>
      <c r="T58" s="42"/>
      <c r="U58" s="42"/>
      <c r="V58" s="43"/>
    </row>
    <row r="59" spans="1:22" x14ac:dyDescent="0.25">
      <c r="A59" s="41">
        <v>25</v>
      </c>
      <c r="B59" s="47"/>
      <c r="C59" s="42"/>
      <c r="D59" s="42"/>
      <c r="E59" s="42">
        <v>5.7540000000000001E-2</v>
      </c>
      <c r="F59" s="42"/>
      <c r="G59" s="42"/>
      <c r="H59" s="42"/>
      <c r="I59" s="42"/>
      <c r="J59" s="47"/>
      <c r="K59" s="42">
        <v>1.99E-3</v>
      </c>
      <c r="L59" s="42"/>
      <c r="M59" s="42"/>
      <c r="N59" s="42">
        <v>0</v>
      </c>
      <c r="O59" s="42"/>
      <c r="P59" s="42"/>
      <c r="Q59" s="42">
        <v>0.13453999999999999</v>
      </c>
      <c r="R59" s="42"/>
      <c r="S59" s="42"/>
      <c r="T59" s="42"/>
      <c r="U59" s="42"/>
      <c r="V59" s="43"/>
    </row>
    <row r="60" spans="1:22" x14ac:dyDescent="0.25">
      <c r="A60" s="41" t="s">
        <v>62</v>
      </c>
      <c r="B60" s="47"/>
      <c r="C60" s="42"/>
      <c r="D60" s="42"/>
      <c r="E60" s="42"/>
      <c r="F60" s="42"/>
      <c r="G60" s="42"/>
      <c r="H60" s="42"/>
      <c r="I60" s="42"/>
      <c r="J60" s="47"/>
      <c r="K60" s="42"/>
      <c r="L60" s="42"/>
      <c r="M60" s="42"/>
      <c r="N60" s="42"/>
      <c r="O60" s="42"/>
      <c r="P60" s="42"/>
      <c r="Q60" s="42">
        <v>0</v>
      </c>
      <c r="R60" s="42"/>
      <c r="S60" s="42"/>
      <c r="T60" s="42"/>
      <c r="U60" s="42"/>
      <c r="V60" s="43"/>
    </row>
    <row r="61" spans="1:22" x14ac:dyDescent="0.25">
      <c r="A61" s="41" t="s">
        <v>63</v>
      </c>
      <c r="B61" s="47"/>
      <c r="C61" s="42"/>
      <c r="D61" s="42"/>
      <c r="E61" s="42"/>
      <c r="F61" s="42"/>
      <c r="G61" s="42"/>
      <c r="H61" s="42"/>
      <c r="I61" s="42"/>
      <c r="J61" s="47"/>
      <c r="K61" s="42"/>
      <c r="L61" s="42"/>
      <c r="M61" s="42"/>
      <c r="N61" s="42"/>
      <c r="O61" s="42"/>
      <c r="P61" s="42"/>
      <c r="Q61" s="42">
        <v>1E-3</v>
      </c>
      <c r="R61" s="42"/>
      <c r="S61" s="42"/>
      <c r="T61" s="42"/>
      <c r="U61" s="42"/>
      <c r="V61" s="43"/>
    </row>
    <row r="62" spans="1:22" x14ac:dyDescent="0.25">
      <c r="A62" s="41">
        <v>26</v>
      </c>
      <c r="B62" s="47"/>
      <c r="C62" s="42"/>
      <c r="D62" s="42"/>
      <c r="E62" s="42">
        <v>1.29E-2</v>
      </c>
      <c r="F62" s="42"/>
      <c r="G62" s="42"/>
      <c r="H62" s="42"/>
      <c r="I62" s="42"/>
      <c r="J62" s="47"/>
      <c r="K62" s="42">
        <v>0</v>
      </c>
      <c r="L62" s="42"/>
      <c r="M62" s="42"/>
      <c r="N62" s="42"/>
      <c r="O62" s="42"/>
      <c r="P62" s="42"/>
      <c r="Q62" s="42">
        <v>5.1200000000000002E-2</v>
      </c>
      <c r="R62" s="42"/>
      <c r="S62" s="42"/>
      <c r="T62" s="42"/>
      <c r="U62" s="42"/>
      <c r="V62" s="43"/>
    </row>
    <row r="63" spans="1:22" x14ac:dyDescent="0.25">
      <c r="A63" s="41" t="s">
        <v>64</v>
      </c>
      <c r="B63" s="47"/>
      <c r="C63" s="42"/>
      <c r="D63" s="42"/>
      <c r="E63" s="42"/>
      <c r="F63" s="42"/>
      <c r="G63" s="42"/>
      <c r="H63" s="42"/>
      <c r="I63" s="42"/>
      <c r="J63" s="47"/>
      <c r="K63" s="47"/>
      <c r="L63" s="42"/>
      <c r="M63" s="42"/>
      <c r="N63" s="42"/>
      <c r="O63" s="42"/>
      <c r="P63" s="42"/>
      <c r="Q63" s="42">
        <v>0</v>
      </c>
      <c r="R63" s="42"/>
      <c r="S63" s="42"/>
      <c r="T63" s="42"/>
      <c r="U63" s="42"/>
      <c r="V63" s="43"/>
    </row>
    <row r="64" spans="1:22" x14ac:dyDescent="0.25">
      <c r="A64" s="41" t="s">
        <v>65</v>
      </c>
      <c r="B64" s="47"/>
      <c r="C64" s="42"/>
      <c r="D64" s="42"/>
      <c r="E64" s="42"/>
      <c r="F64" s="42"/>
      <c r="G64" s="42"/>
      <c r="H64" s="42"/>
      <c r="I64" s="42"/>
      <c r="J64" s="47"/>
      <c r="K64" s="47"/>
      <c r="L64" s="42"/>
      <c r="M64" s="42"/>
      <c r="N64" s="42"/>
      <c r="O64" s="42"/>
      <c r="P64" s="42"/>
      <c r="Q64" s="42">
        <v>0</v>
      </c>
      <c r="R64" s="42"/>
      <c r="S64" s="42"/>
      <c r="T64" s="42"/>
      <c r="U64" s="42"/>
      <c r="V64" s="43"/>
    </row>
    <row r="65" spans="1:22" x14ac:dyDescent="0.25">
      <c r="A65" s="41">
        <v>27</v>
      </c>
      <c r="B65" s="47"/>
      <c r="C65" s="42"/>
      <c r="D65" s="42"/>
      <c r="E65" s="42">
        <v>2.98E-3</v>
      </c>
      <c r="F65" s="42"/>
      <c r="G65" s="42"/>
      <c r="H65" s="42"/>
      <c r="I65" s="42"/>
      <c r="J65" s="47"/>
      <c r="K65" s="47"/>
      <c r="L65" s="42"/>
      <c r="M65" s="42"/>
      <c r="N65" s="42"/>
      <c r="O65" s="42"/>
      <c r="P65" s="42"/>
      <c r="Q65" s="42">
        <v>2.811E-2</v>
      </c>
      <c r="R65" s="42"/>
      <c r="S65" s="42"/>
      <c r="T65" s="42"/>
      <c r="U65" s="42"/>
      <c r="V65" s="43"/>
    </row>
    <row r="66" spans="1:22" x14ac:dyDescent="0.25">
      <c r="A66" s="41" t="s">
        <v>66</v>
      </c>
      <c r="B66" s="47"/>
      <c r="C66" s="42"/>
      <c r="D66" s="42"/>
      <c r="E66" s="42"/>
      <c r="F66" s="42"/>
      <c r="G66" s="42"/>
      <c r="H66" s="42"/>
      <c r="I66" s="42"/>
      <c r="J66" s="47"/>
      <c r="K66" s="47"/>
      <c r="L66" s="42"/>
      <c r="M66" s="42"/>
      <c r="N66" s="42"/>
      <c r="O66" s="42"/>
      <c r="P66" s="42"/>
      <c r="Q66" s="42">
        <v>0</v>
      </c>
      <c r="R66" s="47"/>
      <c r="S66" s="47"/>
      <c r="T66" s="47"/>
      <c r="U66" s="47"/>
      <c r="V66" s="48"/>
    </row>
    <row r="67" spans="1:22" x14ac:dyDescent="0.25">
      <c r="A67" s="41">
        <v>28</v>
      </c>
      <c r="B67" s="47"/>
      <c r="C67" s="42"/>
      <c r="D67" s="42"/>
      <c r="E67" s="42">
        <v>9.8999999999999999E-4</v>
      </c>
      <c r="F67" s="42"/>
      <c r="G67" s="42"/>
      <c r="H67" s="42"/>
      <c r="I67" s="42"/>
      <c r="J67" s="47"/>
      <c r="K67" s="47"/>
      <c r="L67" s="42"/>
      <c r="M67" s="42"/>
      <c r="N67" s="42"/>
      <c r="O67" s="42"/>
      <c r="P67" s="42"/>
      <c r="Q67" s="42">
        <v>1.506E-2</v>
      </c>
      <c r="R67" s="47"/>
      <c r="S67" s="47"/>
      <c r="T67" s="47"/>
      <c r="U67" s="47"/>
      <c r="V67" s="48"/>
    </row>
    <row r="68" spans="1:22" x14ac:dyDescent="0.25">
      <c r="A68" s="41">
        <v>29</v>
      </c>
      <c r="B68" s="47"/>
      <c r="C68" s="42"/>
      <c r="D68" s="42"/>
      <c r="E68" s="42">
        <v>0</v>
      </c>
      <c r="F68" s="42"/>
      <c r="G68" s="42"/>
      <c r="H68" s="42"/>
      <c r="I68" s="42"/>
      <c r="J68" s="47"/>
      <c r="K68" s="47"/>
      <c r="L68" s="42"/>
      <c r="M68" s="42"/>
      <c r="N68" s="42"/>
      <c r="O68" s="42"/>
      <c r="P68" s="42"/>
      <c r="Q68" s="42">
        <v>6.0200000000000002E-3</v>
      </c>
      <c r="R68" s="47"/>
      <c r="S68" s="47"/>
      <c r="T68" s="47"/>
      <c r="U68" s="47"/>
      <c r="V68" s="48"/>
    </row>
    <row r="69" spans="1:22" x14ac:dyDescent="0.25">
      <c r="A69" s="41">
        <v>30</v>
      </c>
      <c r="B69" s="47"/>
      <c r="C69" s="42"/>
      <c r="D69" s="42"/>
      <c r="E69" s="42"/>
      <c r="F69" s="42"/>
      <c r="G69" s="42"/>
      <c r="H69" s="42"/>
      <c r="I69" s="42"/>
      <c r="J69" s="47"/>
      <c r="K69" s="47"/>
      <c r="L69" s="42"/>
      <c r="M69" s="42"/>
      <c r="N69" s="42"/>
      <c r="O69" s="42"/>
      <c r="P69" s="42"/>
      <c r="Q69" s="42">
        <v>0</v>
      </c>
      <c r="R69" s="47"/>
      <c r="S69" s="47"/>
      <c r="T69" s="47"/>
      <c r="U69" s="47"/>
      <c r="V69" s="48"/>
    </row>
    <row r="70" spans="1:22" x14ac:dyDescent="0.25">
      <c r="A70" s="65"/>
      <c r="B70" s="66" t="s">
        <v>0</v>
      </c>
      <c r="C70" s="66" t="s">
        <v>7</v>
      </c>
      <c r="D70" s="66" t="s">
        <v>10</v>
      </c>
      <c r="E70" s="66" t="s">
        <v>9</v>
      </c>
      <c r="F70" s="66" t="s">
        <v>11</v>
      </c>
      <c r="G70" s="66" t="s">
        <v>12</v>
      </c>
      <c r="H70" s="66" t="s">
        <v>13</v>
      </c>
      <c r="I70" s="66" t="s">
        <v>14</v>
      </c>
      <c r="J70" s="66" t="s">
        <v>1</v>
      </c>
      <c r="K70" s="66" t="s">
        <v>2</v>
      </c>
      <c r="L70" s="66" t="s">
        <v>3</v>
      </c>
      <c r="M70" s="66" t="s">
        <v>4</v>
      </c>
      <c r="N70" s="66" t="s">
        <v>5</v>
      </c>
      <c r="O70" s="66" t="s">
        <v>6</v>
      </c>
      <c r="P70" s="66" t="s">
        <v>8</v>
      </c>
      <c r="Q70" s="66" t="s">
        <v>15</v>
      </c>
      <c r="R70" s="66" t="s">
        <v>141</v>
      </c>
      <c r="S70" s="66" t="s">
        <v>142</v>
      </c>
      <c r="T70" s="66" t="s">
        <v>16</v>
      </c>
      <c r="U70" s="66" t="s">
        <v>17</v>
      </c>
      <c r="V70" s="67" t="s">
        <v>18</v>
      </c>
    </row>
    <row r="71" spans="1:22" ht="15.75" customHeight="1" x14ac:dyDescent="0.25">
      <c r="A71" s="41" t="s">
        <v>19</v>
      </c>
      <c r="B71" s="45">
        <v>504</v>
      </c>
      <c r="C71" s="45">
        <v>504</v>
      </c>
      <c r="D71" s="45">
        <v>504</v>
      </c>
      <c r="E71" s="45">
        <v>504</v>
      </c>
      <c r="F71" s="45">
        <v>504</v>
      </c>
      <c r="G71" s="45">
        <v>504</v>
      </c>
      <c r="H71" s="45">
        <v>501</v>
      </c>
      <c r="I71" s="45">
        <v>504</v>
      </c>
      <c r="J71" s="45">
        <v>504</v>
      </c>
      <c r="K71" s="45">
        <v>503</v>
      </c>
      <c r="L71" s="45">
        <v>493</v>
      </c>
      <c r="M71" s="45">
        <v>504</v>
      </c>
      <c r="N71" s="45">
        <v>501</v>
      </c>
      <c r="O71" s="45">
        <v>501</v>
      </c>
      <c r="P71" s="45">
        <v>504</v>
      </c>
      <c r="Q71" s="45">
        <v>498</v>
      </c>
      <c r="R71" s="45">
        <v>324</v>
      </c>
      <c r="S71" s="45">
        <v>465</v>
      </c>
      <c r="T71" s="45">
        <v>504</v>
      </c>
      <c r="U71" s="45">
        <v>504</v>
      </c>
      <c r="V71" s="46">
        <v>501</v>
      </c>
    </row>
    <row r="72" spans="1:22" x14ac:dyDescent="0.25">
      <c r="A72" s="41" t="s">
        <v>20</v>
      </c>
      <c r="B72" s="47">
        <v>8</v>
      </c>
      <c r="C72" s="47">
        <v>15</v>
      </c>
      <c r="D72" s="47">
        <v>13</v>
      </c>
      <c r="E72" s="47">
        <v>15</v>
      </c>
      <c r="F72" s="47">
        <v>12</v>
      </c>
      <c r="G72" s="47">
        <v>10</v>
      </c>
      <c r="H72" s="47">
        <v>9</v>
      </c>
      <c r="I72" s="47">
        <v>9</v>
      </c>
      <c r="J72" s="47">
        <v>9</v>
      </c>
      <c r="K72" s="47">
        <v>18</v>
      </c>
      <c r="L72" s="47">
        <v>8</v>
      </c>
      <c r="M72" s="47">
        <v>8</v>
      </c>
      <c r="N72" s="47">
        <v>21</v>
      </c>
      <c r="O72" s="47">
        <v>18</v>
      </c>
      <c r="P72" s="47">
        <v>13</v>
      </c>
      <c r="Q72" s="47">
        <v>22</v>
      </c>
      <c r="R72" s="47">
        <v>12</v>
      </c>
      <c r="S72" s="47">
        <v>12</v>
      </c>
      <c r="T72" s="47">
        <v>7</v>
      </c>
      <c r="U72" s="47">
        <v>7</v>
      </c>
      <c r="V72" s="48">
        <v>13</v>
      </c>
    </row>
    <row r="73" spans="1:22" x14ac:dyDescent="0.25">
      <c r="A73" s="41" t="s">
        <v>21</v>
      </c>
      <c r="B73" s="42">
        <v>0.82341269841269837</v>
      </c>
      <c r="C73" s="42">
        <v>0.80555555555555558</v>
      </c>
      <c r="D73" s="42">
        <v>0.75</v>
      </c>
      <c r="E73" s="42">
        <v>0.87896825396825395</v>
      </c>
      <c r="F73" s="42">
        <v>0.75</v>
      </c>
      <c r="G73" s="42">
        <v>0.73015873015873012</v>
      </c>
      <c r="H73" s="42">
        <v>0.80039920159680644</v>
      </c>
      <c r="I73" s="42">
        <v>0.79761904761904767</v>
      </c>
      <c r="J73" s="42">
        <v>0.77380952380952384</v>
      </c>
      <c r="K73" s="42">
        <v>0.82902584493041753</v>
      </c>
      <c r="L73" s="42">
        <v>0.68559837728194728</v>
      </c>
      <c r="M73" s="42">
        <v>0.77777777777777779</v>
      </c>
      <c r="N73" s="42">
        <v>0.86027944111776444</v>
      </c>
      <c r="O73" s="42">
        <v>0.85628742514970058</v>
      </c>
      <c r="P73" s="42">
        <v>0.81746031746031744</v>
      </c>
      <c r="Q73" s="42">
        <v>0.83734939759036142</v>
      </c>
      <c r="R73" s="42">
        <v>0.83024691358024694</v>
      </c>
      <c r="S73" s="42">
        <v>0.61290322580645162</v>
      </c>
      <c r="T73" s="42">
        <v>0.72222222222222221</v>
      </c>
      <c r="U73" s="42">
        <v>0.74801587301587302</v>
      </c>
      <c r="V73" s="43">
        <v>0.80039920159680644</v>
      </c>
    </row>
    <row r="74" spans="1:22" x14ac:dyDescent="0.25">
      <c r="A74" s="41" t="s">
        <v>22</v>
      </c>
      <c r="B74" s="42">
        <v>0.8035222190728144</v>
      </c>
      <c r="C74" s="42">
        <v>0.8465647833207357</v>
      </c>
      <c r="D74" s="42">
        <v>0.75334624590576971</v>
      </c>
      <c r="E74" s="42">
        <v>0.87965915532879813</v>
      </c>
      <c r="F74" s="42">
        <v>0.74226623519778279</v>
      </c>
      <c r="G74" s="42">
        <v>0.74716356449987398</v>
      </c>
      <c r="H74" s="42">
        <v>0.77641124935757233</v>
      </c>
      <c r="I74" s="42">
        <v>0.77707506613756605</v>
      </c>
      <c r="J74" s="42">
        <v>0.79158596308893925</v>
      </c>
      <c r="K74" s="42">
        <v>0.8349406542850254</v>
      </c>
      <c r="L74" s="42">
        <v>0.67816366247135362</v>
      </c>
      <c r="M74" s="42">
        <v>0.79611520534139579</v>
      </c>
      <c r="N74" s="42">
        <v>0.87481324775598512</v>
      </c>
      <c r="O74" s="42">
        <v>0.8409627850088246</v>
      </c>
      <c r="P74" s="42">
        <v>0.82981386999244144</v>
      </c>
      <c r="Q74" s="42">
        <v>0.8665686843760585</v>
      </c>
      <c r="R74" s="42">
        <v>0.866617131534827</v>
      </c>
      <c r="S74" s="42">
        <v>0.86684703433922994</v>
      </c>
      <c r="T74" s="42">
        <v>0.7366347001763669</v>
      </c>
      <c r="U74" s="42">
        <v>0.78057484567901236</v>
      </c>
      <c r="V74" s="43">
        <v>0.81470591750630472</v>
      </c>
    </row>
    <row r="75" spans="1:22" x14ac:dyDescent="0.25">
      <c r="A75" s="41" t="s">
        <v>23</v>
      </c>
      <c r="B75" s="42">
        <v>7.2208049886621301E-2</v>
      </c>
      <c r="C75" s="42">
        <v>3.99108717561098E-2</v>
      </c>
      <c r="D75" s="42">
        <v>9.7277336860670194E-2</v>
      </c>
      <c r="E75" s="42">
        <v>2.82974300831444E-2</v>
      </c>
      <c r="F75" s="42">
        <v>0.11099300831443699</v>
      </c>
      <c r="G75" s="42">
        <v>0.100599962207105</v>
      </c>
      <c r="H75" s="42">
        <v>9.1645053206959301E-2</v>
      </c>
      <c r="I75" s="42">
        <v>8.3986835474930702E-2</v>
      </c>
      <c r="J75" s="42">
        <v>7.3751259763164503E-2</v>
      </c>
      <c r="K75" s="42">
        <v>4.7108996122667599E-2</v>
      </c>
      <c r="L75" s="42">
        <v>0.156507535517529</v>
      </c>
      <c r="M75" s="42">
        <v>7.0727828168304405E-2</v>
      </c>
      <c r="N75" s="42">
        <v>2.9788725941330901E-2</v>
      </c>
      <c r="O75" s="42">
        <v>4.3924127792319599E-2</v>
      </c>
      <c r="P75" s="42">
        <v>5.15558075081885E-2</v>
      </c>
      <c r="Q75" s="42">
        <v>3.1701101595135603E-2</v>
      </c>
      <c r="R75" s="42">
        <v>3.3798201493674698E-2</v>
      </c>
      <c r="S75" s="42">
        <v>3.8011330789686701E-2</v>
      </c>
      <c r="T75" s="42">
        <v>0.111221340388007</v>
      </c>
      <c r="U75" s="42">
        <v>7.7853363567649297E-2</v>
      </c>
      <c r="V75" s="43">
        <v>5.9589404026278797E-2</v>
      </c>
    </row>
    <row r="76" spans="1:22" x14ac:dyDescent="0.25">
      <c r="A76" s="41" t="s">
        <v>24</v>
      </c>
      <c r="B76" s="42">
        <v>0.643190648611488</v>
      </c>
      <c r="C76" s="42">
        <v>0.60939150509534501</v>
      </c>
      <c r="D76" s="42">
        <v>0.509765625</v>
      </c>
      <c r="E76" s="42">
        <v>0.75268999822724303</v>
      </c>
      <c r="F76" s="42">
        <v>0.509765625</v>
      </c>
      <c r="G76" s="42">
        <v>0.47644279862032402</v>
      </c>
      <c r="H76" s="42">
        <v>0.59978112839406394</v>
      </c>
      <c r="I76" s="42">
        <v>0.59462846224068</v>
      </c>
      <c r="J76" s="42">
        <v>0.55136999119803198</v>
      </c>
      <c r="K76" s="42">
        <v>0.65397227880243403</v>
      </c>
      <c r="L76" s="42">
        <v>0.40633494549045102</v>
      </c>
      <c r="M76" s="42">
        <v>0.55846839065860598</v>
      </c>
      <c r="N76" s="42">
        <v>0.71522254090898196</v>
      </c>
      <c r="O76" s="42">
        <v>0.70729363319586502</v>
      </c>
      <c r="P76" s="42">
        <v>0.63183774694247596</v>
      </c>
      <c r="Q76" s="42">
        <v>0.67008971987966903</v>
      </c>
      <c r="R76" s="42">
        <v>0.656327164674681</v>
      </c>
      <c r="S76" s="42">
        <v>0.30665104249860597</v>
      </c>
      <c r="T76" s="42">
        <v>0.46346995715422801</v>
      </c>
      <c r="U76" s="42">
        <v>0.50637706863502996</v>
      </c>
      <c r="V76" s="43">
        <v>0.59978112839406394</v>
      </c>
    </row>
    <row r="77" spans="1:22" x14ac:dyDescent="0.25">
      <c r="A77" s="41" t="s">
        <v>25</v>
      </c>
      <c r="B77" s="42">
        <v>0.927791950113379</v>
      </c>
      <c r="C77" s="42">
        <v>0.96008912824389003</v>
      </c>
      <c r="D77" s="42">
        <v>0.90272266313933003</v>
      </c>
      <c r="E77" s="42">
        <v>0.971702569916856</v>
      </c>
      <c r="F77" s="42">
        <v>0.88900699168556296</v>
      </c>
      <c r="G77" s="42">
        <v>0.89940003779289501</v>
      </c>
      <c r="H77" s="42">
        <v>0.90835494679304096</v>
      </c>
      <c r="I77" s="42">
        <v>0.91601316452506898</v>
      </c>
      <c r="J77" s="42">
        <v>0.92624874023683501</v>
      </c>
      <c r="K77" s="42">
        <v>0.95289100387733205</v>
      </c>
      <c r="L77" s="42">
        <v>0.84349246448247095</v>
      </c>
      <c r="M77" s="42">
        <v>0.92927217183169597</v>
      </c>
      <c r="N77" s="42">
        <v>0.97021127405866903</v>
      </c>
      <c r="O77" s="42">
        <v>0.95607587220767998</v>
      </c>
      <c r="P77" s="42">
        <v>0.948444192491812</v>
      </c>
      <c r="Q77" s="42">
        <v>0.96829889840486405</v>
      </c>
      <c r="R77" s="42">
        <v>0.96620179850632504</v>
      </c>
      <c r="S77" s="42">
        <v>0.96198866921031301</v>
      </c>
      <c r="T77" s="42">
        <v>0.88877865961199298</v>
      </c>
      <c r="U77" s="42">
        <v>0.92214663643235095</v>
      </c>
      <c r="V77" s="43">
        <v>0.94041059597372101</v>
      </c>
    </row>
    <row r="78" spans="1:22" ht="16.5" thickBot="1" x14ac:dyDescent="0.3">
      <c r="A78" s="51" t="s">
        <v>26</v>
      </c>
      <c r="B78" s="63">
        <v>0.776051056489379</v>
      </c>
      <c r="C78" s="63">
        <v>0.829892557897838</v>
      </c>
      <c r="D78" s="63">
        <v>0.71693178397878499</v>
      </c>
      <c r="E78" s="63">
        <v>0.867786804375281</v>
      </c>
      <c r="F78" s="63">
        <v>0.69988716220936598</v>
      </c>
      <c r="G78" s="63">
        <v>0.707188525617653</v>
      </c>
      <c r="H78" s="63">
        <v>0.74245405535740305</v>
      </c>
      <c r="I78" s="63">
        <v>0.74625915223655004</v>
      </c>
      <c r="J78" s="63">
        <v>0.76096061431964002</v>
      </c>
      <c r="K78" s="63">
        <v>0.81657537840708505</v>
      </c>
      <c r="L78" s="63">
        <v>0.62778253096160497</v>
      </c>
      <c r="M78" s="63">
        <v>0.76608039177427401</v>
      </c>
      <c r="N78" s="63">
        <v>0.86219539483182195</v>
      </c>
      <c r="O78" s="63">
        <v>0.82447927003074495</v>
      </c>
      <c r="P78" s="63">
        <v>0.80824183557490403</v>
      </c>
      <c r="Q78" s="63">
        <v>0.85249515077646898</v>
      </c>
      <c r="R78" s="63">
        <v>0.85183963034714905</v>
      </c>
      <c r="S78" s="63">
        <v>0.85409438692905904</v>
      </c>
      <c r="T78" s="63">
        <v>0.69749729387572201</v>
      </c>
      <c r="U78" s="63">
        <v>0.74641407909910795</v>
      </c>
      <c r="V78" s="64">
        <v>0.78939601685544902</v>
      </c>
    </row>
    <row r="79" spans="1:22" x14ac:dyDescent="0.25">
      <c r="A79" s="68" t="s">
        <v>76</v>
      </c>
      <c r="B79" s="54">
        <f>PRODUCT(B75:V75)</f>
        <v>3.7170318903087882E-26</v>
      </c>
      <c r="C79" s="54"/>
      <c r="J79" s="55"/>
    </row>
    <row r="80" spans="1:22" x14ac:dyDescent="0.25">
      <c r="A80" s="68" t="s">
        <v>78</v>
      </c>
      <c r="B80" s="56">
        <f>1-(PRODUCT(1-B76,1-C76,1-D76,1-E76,1-F76,1-G76,1-H76,1-I76,1-J76,1-K76,1-L76,1-M76,1-N76,1-O76,1-P76,1-Q76,1-R76,1-S76,1-T76,1-U76,1-V76))</f>
        <v>0.9999999926784765</v>
      </c>
      <c r="C80" s="56"/>
      <c r="J80" s="57"/>
    </row>
  </sheetData>
  <mergeCells count="2">
    <mergeCell ref="B79:C79"/>
    <mergeCell ref="B80:C8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workbookViewId="0"/>
  </sheetViews>
  <sheetFormatPr defaultColWidth="11.42578125" defaultRowHeight="15.75" x14ac:dyDescent="0.25"/>
  <cols>
    <col min="1" max="1" width="11.42578125" style="40"/>
    <col min="2" max="22" width="11.42578125" style="72"/>
    <col min="23" max="16384" width="11.42578125" style="39"/>
  </cols>
  <sheetData>
    <row r="1" spans="1:22" x14ac:dyDescent="0.25">
      <c r="A1" s="1" t="s">
        <v>146</v>
      </c>
    </row>
    <row r="2" spans="1:22" ht="16.5" thickBot="1" x14ac:dyDescent="0.3"/>
    <row r="3" spans="1:22" x14ac:dyDescent="0.25">
      <c r="A3" s="69" t="s">
        <v>143</v>
      </c>
      <c r="B3" s="70" t="s">
        <v>0</v>
      </c>
      <c r="C3" s="70" t="s">
        <v>7</v>
      </c>
      <c r="D3" s="70" t="s">
        <v>10</v>
      </c>
      <c r="E3" s="70" t="s">
        <v>9</v>
      </c>
      <c r="F3" s="70" t="s">
        <v>11</v>
      </c>
      <c r="G3" s="70" t="s">
        <v>12</v>
      </c>
      <c r="H3" s="70" t="s">
        <v>13</v>
      </c>
      <c r="I3" s="70" t="s">
        <v>14</v>
      </c>
      <c r="J3" s="70" t="s">
        <v>1</v>
      </c>
      <c r="K3" s="70" t="s">
        <v>2</v>
      </c>
      <c r="L3" s="70" t="s">
        <v>3</v>
      </c>
      <c r="M3" s="70" t="s">
        <v>4</v>
      </c>
      <c r="N3" s="70" t="s">
        <v>5</v>
      </c>
      <c r="O3" s="70" t="s">
        <v>6</v>
      </c>
      <c r="P3" s="70" t="s">
        <v>8</v>
      </c>
      <c r="Q3" s="70" t="s">
        <v>15</v>
      </c>
      <c r="R3" s="70" t="s">
        <v>141</v>
      </c>
      <c r="S3" s="70" t="s">
        <v>142</v>
      </c>
      <c r="T3" s="70" t="s">
        <v>16</v>
      </c>
      <c r="U3" s="70" t="s">
        <v>17</v>
      </c>
      <c r="V3" s="71" t="s">
        <v>18</v>
      </c>
    </row>
    <row r="4" spans="1:22" x14ac:dyDescent="0.25">
      <c r="A4" s="41">
        <v>5</v>
      </c>
      <c r="B4" s="47"/>
      <c r="C4" s="42"/>
      <c r="D4" s="42"/>
      <c r="E4" s="42"/>
      <c r="F4" s="42"/>
      <c r="G4" s="47"/>
      <c r="H4" s="47"/>
      <c r="I4" s="47"/>
      <c r="J4" s="47"/>
      <c r="K4" s="47"/>
      <c r="L4" s="42">
        <v>0</v>
      </c>
      <c r="M4" s="42"/>
      <c r="N4" s="42"/>
      <c r="O4" s="42"/>
      <c r="P4" s="42"/>
      <c r="Q4" s="47"/>
      <c r="R4" s="42">
        <v>1.831E-2</v>
      </c>
      <c r="S4" s="42">
        <v>6.5790000000000001E-2</v>
      </c>
      <c r="T4" s="42">
        <v>2.98E-3</v>
      </c>
      <c r="U4" s="42"/>
      <c r="V4" s="43"/>
    </row>
    <row r="5" spans="1:22" x14ac:dyDescent="0.25">
      <c r="A5" s="41">
        <v>6</v>
      </c>
      <c r="B5" s="47"/>
      <c r="C5" s="42"/>
      <c r="D5" s="42"/>
      <c r="E5" s="42"/>
      <c r="F5" s="42"/>
      <c r="G5" s="47"/>
      <c r="H5" s="42">
        <v>0</v>
      </c>
      <c r="I5" s="47"/>
      <c r="J5" s="42">
        <v>9.8999999999999999E-4</v>
      </c>
      <c r="K5" s="47"/>
      <c r="L5" s="42"/>
      <c r="M5" s="42"/>
      <c r="N5" s="42"/>
      <c r="O5" s="42">
        <v>0</v>
      </c>
      <c r="P5" s="42"/>
      <c r="Q5" s="47"/>
      <c r="R5" s="42">
        <v>2.2899999999999999E-3</v>
      </c>
      <c r="S5" s="42">
        <v>1.1999999999999999E-3</v>
      </c>
      <c r="T5" s="42">
        <v>0.23313</v>
      </c>
      <c r="U5" s="42">
        <v>2.579E-2</v>
      </c>
      <c r="V5" s="43"/>
    </row>
    <row r="6" spans="1:22" x14ac:dyDescent="0.25">
      <c r="A6" s="41">
        <v>7</v>
      </c>
      <c r="B6" s="42">
        <v>1.984E-2</v>
      </c>
      <c r="C6" s="42">
        <v>0</v>
      </c>
      <c r="D6" s="42"/>
      <c r="E6" s="42"/>
      <c r="F6" s="42"/>
      <c r="G6" s="42">
        <v>3.4720000000000001E-2</v>
      </c>
      <c r="H6" s="42">
        <v>1.6969999999999999E-2</v>
      </c>
      <c r="I6" s="47"/>
      <c r="J6" s="42">
        <v>9.8999999999999999E-4</v>
      </c>
      <c r="K6" s="47"/>
      <c r="L6" s="42">
        <v>0</v>
      </c>
      <c r="M6" s="42">
        <v>0</v>
      </c>
      <c r="N6" s="42"/>
      <c r="O6" s="42">
        <v>0</v>
      </c>
      <c r="P6" s="42"/>
      <c r="Q6" s="47"/>
      <c r="R6" s="42">
        <v>8.0099999999999998E-3</v>
      </c>
      <c r="S6" s="42">
        <v>0.13278000000000001</v>
      </c>
      <c r="T6" s="42">
        <v>0.34523999999999999</v>
      </c>
      <c r="U6" s="42">
        <v>4.96E-3</v>
      </c>
      <c r="V6" s="43"/>
    </row>
    <row r="7" spans="1:22" x14ac:dyDescent="0.25">
      <c r="A7" s="41" t="s">
        <v>27</v>
      </c>
      <c r="B7" s="42">
        <v>0</v>
      </c>
      <c r="C7" s="42"/>
      <c r="D7" s="42"/>
      <c r="E7" s="42"/>
      <c r="F7" s="42"/>
      <c r="G7" s="47"/>
      <c r="H7" s="42"/>
      <c r="I7" s="47"/>
      <c r="J7" s="42"/>
      <c r="K7" s="47"/>
      <c r="L7" s="42"/>
      <c r="M7" s="42"/>
      <c r="N7" s="42"/>
      <c r="O7" s="42"/>
      <c r="P7" s="42"/>
      <c r="Q7" s="47"/>
      <c r="R7" s="42"/>
      <c r="S7" s="42"/>
      <c r="T7" s="42"/>
      <c r="U7" s="42"/>
      <c r="V7" s="43"/>
    </row>
    <row r="8" spans="1:22" x14ac:dyDescent="0.25">
      <c r="A8" s="41">
        <v>8</v>
      </c>
      <c r="B8" s="42">
        <v>2.7779999999999999E-2</v>
      </c>
      <c r="C8" s="42">
        <v>0</v>
      </c>
      <c r="D8" s="42">
        <v>9.8999999999999999E-4</v>
      </c>
      <c r="E8" s="42">
        <v>0</v>
      </c>
      <c r="F8" s="42"/>
      <c r="G8" s="42">
        <v>1.7860000000000001E-2</v>
      </c>
      <c r="H8" s="42">
        <v>0.14571000000000001</v>
      </c>
      <c r="I8" s="42">
        <v>5.9500000000000004E-3</v>
      </c>
      <c r="J8" s="42">
        <v>9.8999999999999999E-4</v>
      </c>
      <c r="K8" s="47"/>
      <c r="L8" s="42">
        <v>7.0279999999999995E-2</v>
      </c>
      <c r="M8" s="42">
        <v>2.6890000000000001E-2</v>
      </c>
      <c r="N8" s="42"/>
      <c r="O8" s="42">
        <v>0</v>
      </c>
      <c r="P8" s="42">
        <v>2.98E-3</v>
      </c>
      <c r="Q8" s="47"/>
      <c r="R8" s="42">
        <v>4.462E-2</v>
      </c>
      <c r="S8" s="42">
        <v>9.5689999999999997E-2</v>
      </c>
      <c r="T8" s="42">
        <v>0.12598999999999999</v>
      </c>
      <c r="U8" s="42">
        <v>0.44146999999999997</v>
      </c>
      <c r="V8" s="43"/>
    </row>
    <row r="9" spans="1:22" x14ac:dyDescent="0.25">
      <c r="A9" s="41" t="s">
        <v>28</v>
      </c>
      <c r="B9" s="47"/>
      <c r="C9" s="42"/>
      <c r="D9" s="42"/>
      <c r="E9" s="42"/>
      <c r="F9" s="42"/>
      <c r="G9" s="42"/>
      <c r="H9" s="42"/>
      <c r="I9" s="42"/>
      <c r="J9" s="42"/>
      <c r="K9" s="47"/>
      <c r="L9" s="42"/>
      <c r="M9" s="42"/>
      <c r="N9" s="42"/>
      <c r="O9" s="42"/>
      <c r="P9" s="42"/>
      <c r="Q9" s="47"/>
      <c r="R9" s="42"/>
      <c r="S9" s="42"/>
      <c r="T9" s="42">
        <v>0</v>
      </c>
      <c r="U9" s="42"/>
      <c r="V9" s="43"/>
    </row>
    <row r="10" spans="1:22" x14ac:dyDescent="0.25">
      <c r="A10" s="41">
        <v>9</v>
      </c>
      <c r="B10" s="42">
        <v>2.0830000000000001E-2</v>
      </c>
      <c r="C10" s="42">
        <v>0</v>
      </c>
      <c r="D10" s="42">
        <v>2.98E-3</v>
      </c>
      <c r="E10" s="42"/>
      <c r="F10" s="42">
        <v>9.8999999999999999E-4</v>
      </c>
      <c r="G10" s="42">
        <v>4.0669999999999998E-2</v>
      </c>
      <c r="H10" s="42">
        <v>9.8799999999999999E-2</v>
      </c>
      <c r="I10" s="42">
        <v>7.9399999999999991E-3</v>
      </c>
      <c r="J10" s="42">
        <v>9.8999999999999999E-4</v>
      </c>
      <c r="K10" s="47"/>
      <c r="L10" s="42">
        <v>0.11144999999999999</v>
      </c>
      <c r="M10" s="42">
        <v>0.17927999999999999</v>
      </c>
      <c r="N10" s="42">
        <v>0</v>
      </c>
      <c r="O10" s="42">
        <v>0</v>
      </c>
      <c r="P10" s="42">
        <v>0</v>
      </c>
      <c r="Q10" s="47"/>
      <c r="R10" s="42">
        <v>0.15789</v>
      </c>
      <c r="S10" s="42">
        <v>3.2300000000000002E-2</v>
      </c>
      <c r="T10" s="42">
        <v>0.11310000000000001</v>
      </c>
      <c r="U10" s="42">
        <v>0.13294</v>
      </c>
      <c r="V10" s="43"/>
    </row>
    <row r="11" spans="1:22" x14ac:dyDescent="0.25">
      <c r="A11" s="41" t="s">
        <v>29</v>
      </c>
      <c r="B11" s="42"/>
      <c r="C11" s="42"/>
      <c r="D11" s="42">
        <v>0</v>
      </c>
      <c r="E11" s="42"/>
      <c r="F11" s="42"/>
      <c r="G11" s="42"/>
      <c r="H11" s="42">
        <v>0</v>
      </c>
      <c r="I11" s="42"/>
      <c r="J11" s="42"/>
      <c r="K11" s="47"/>
      <c r="L11" s="42"/>
      <c r="M11" s="42"/>
      <c r="N11" s="42"/>
      <c r="O11" s="42"/>
      <c r="P11" s="42"/>
      <c r="Q11" s="47"/>
      <c r="R11" s="42"/>
      <c r="S11" s="42"/>
      <c r="T11" s="42"/>
      <c r="U11" s="42">
        <v>9.8999999999999999E-4</v>
      </c>
      <c r="V11" s="43"/>
    </row>
    <row r="12" spans="1:22" x14ac:dyDescent="0.25">
      <c r="A12" s="41" t="s">
        <v>30</v>
      </c>
      <c r="B12" s="42"/>
      <c r="C12" s="42"/>
      <c r="D12" s="42"/>
      <c r="E12" s="42"/>
      <c r="F12" s="42"/>
      <c r="G12" s="42"/>
      <c r="H12" s="42"/>
      <c r="I12" s="42"/>
      <c r="J12" s="42"/>
      <c r="K12" s="47"/>
      <c r="L12" s="42"/>
      <c r="M12" s="42"/>
      <c r="N12" s="42"/>
      <c r="O12" s="42"/>
      <c r="P12" s="42"/>
      <c r="Q12" s="47"/>
      <c r="R12" s="42"/>
      <c r="S12" s="42"/>
      <c r="T12" s="42">
        <v>0.17460000000000001</v>
      </c>
      <c r="U12" s="42"/>
      <c r="V12" s="43"/>
    </row>
    <row r="13" spans="1:22" x14ac:dyDescent="0.25">
      <c r="A13" s="41">
        <v>10</v>
      </c>
      <c r="B13" s="42">
        <v>0.24404999999999999</v>
      </c>
      <c r="C13" s="42">
        <v>7.9500000000000005E-3</v>
      </c>
      <c r="D13" s="42">
        <v>0.31348999999999999</v>
      </c>
      <c r="E13" s="42"/>
      <c r="F13" s="42"/>
      <c r="G13" s="42">
        <v>5.357E-2</v>
      </c>
      <c r="H13" s="42">
        <v>0.28044000000000002</v>
      </c>
      <c r="I13" s="42">
        <v>5.9520000000000003E-2</v>
      </c>
      <c r="J13" s="42">
        <v>1.98E-3</v>
      </c>
      <c r="K13" s="47"/>
      <c r="L13" s="42">
        <v>7.2289999999999993E-2</v>
      </c>
      <c r="M13" s="42">
        <v>0.14840999999999999</v>
      </c>
      <c r="N13" s="42">
        <v>1.98E-3</v>
      </c>
      <c r="O13" s="42">
        <v>5.9800000000000001E-3</v>
      </c>
      <c r="P13" s="42">
        <v>1.687E-2</v>
      </c>
      <c r="Q13" s="47"/>
      <c r="R13" s="42">
        <v>0.19794</v>
      </c>
      <c r="S13" s="42">
        <v>9.0910000000000005E-2</v>
      </c>
      <c r="T13" s="42">
        <v>4.96E-3</v>
      </c>
      <c r="U13" s="42">
        <v>5.5559999999999998E-2</v>
      </c>
      <c r="V13" s="43">
        <v>0</v>
      </c>
    </row>
    <row r="14" spans="1:22" x14ac:dyDescent="0.25">
      <c r="A14" s="41" t="s">
        <v>31</v>
      </c>
      <c r="B14" s="42"/>
      <c r="C14" s="42"/>
      <c r="D14" s="42">
        <v>0</v>
      </c>
      <c r="E14" s="42"/>
      <c r="F14" s="42"/>
      <c r="G14" s="42"/>
      <c r="H14" s="42">
        <v>0</v>
      </c>
      <c r="I14" s="42"/>
      <c r="J14" s="42"/>
      <c r="K14" s="47"/>
      <c r="L14" s="42"/>
      <c r="M14" s="42"/>
      <c r="N14" s="42">
        <v>0</v>
      </c>
      <c r="O14" s="42"/>
      <c r="P14" s="42"/>
      <c r="Q14" s="47"/>
      <c r="R14" s="42"/>
      <c r="S14" s="42"/>
      <c r="T14" s="42"/>
      <c r="U14" s="42"/>
      <c r="V14" s="43"/>
    </row>
    <row r="15" spans="1:22" x14ac:dyDescent="0.25">
      <c r="A15" s="41" t="s">
        <v>32</v>
      </c>
      <c r="B15" s="42">
        <v>0</v>
      </c>
      <c r="C15" s="42"/>
      <c r="D15" s="42"/>
      <c r="E15" s="42"/>
      <c r="F15" s="42"/>
      <c r="G15" s="42"/>
      <c r="H15" s="42"/>
      <c r="I15" s="42"/>
      <c r="J15" s="42"/>
      <c r="K15" s="47"/>
      <c r="L15" s="42"/>
      <c r="M15" s="42"/>
      <c r="N15" s="42"/>
      <c r="O15" s="42"/>
      <c r="P15" s="42"/>
      <c r="Q15" s="47"/>
      <c r="R15" s="42"/>
      <c r="S15" s="42"/>
      <c r="T15" s="42">
        <v>0</v>
      </c>
      <c r="U15" s="42"/>
      <c r="V15" s="43"/>
    </row>
    <row r="16" spans="1:22" x14ac:dyDescent="0.25">
      <c r="A16" s="41">
        <v>11</v>
      </c>
      <c r="B16" s="42">
        <v>0.27778000000000003</v>
      </c>
      <c r="C16" s="42">
        <v>3.3799999999999997E-2</v>
      </c>
      <c r="D16" s="42">
        <v>0.30853000000000003</v>
      </c>
      <c r="E16" s="42"/>
      <c r="F16" s="42">
        <v>9.8999999999999999E-4</v>
      </c>
      <c r="G16" s="42">
        <v>0.38889000000000001</v>
      </c>
      <c r="H16" s="42">
        <v>0.25448999999999999</v>
      </c>
      <c r="I16" s="42">
        <v>5.9520000000000003E-2</v>
      </c>
      <c r="J16" s="42">
        <v>1.7860000000000001E-2</v>
      </c>
      <c r="K16" s="47"/>
      <c r="L16" s="42">
        <v>0.23394000000000001</v>
      </c>
      <c r="M16" s="42">
        <v>0.24701000000000001</v>
      </c>
      <c r="N16" s="42">
        <v>8.9300000000000004E-3</v>
      </c>
      <c r="O16" s="42">
        <v>2.988E-2</v>
      </c>
      <c r="P16" s="42">
        <v>9.425E-2</v>
      </c>
      <c r="Q16" s="47"/>
      <c r="R16" s="42">
        <v>0.18764</v>
      </c>
      <c r="S16" s="42">
        <v>0.11962</v>
      </c>
      <c r="T16" s="42">
        <v>0</v>
      </c>
      <c r="U16" s="42">
        <v>0.25794</v>
      </c>
      <c r="V16" s="43">
        <v>3.9699999999999996E-3</v>
      </c>
    </row>
    <row r="17" spans="1:22" x14ac:dyDescent="0.25">
      <c r="A17" s="41" t="s">
        <v>33</v>
      </c>
      <c r="B17" s="42"/>
      <c r="C17" s="42"/>
      <c r="D17" s="42"/>
      <c r="E17" s="42"/>
      <c r="F17" s="42"/>
      <c r="G17" s="42"/>
      <c r="H17" s="42">
        <v>0</v>
      </c>
      <c r="I17" s="42"/>
      <c r="J17" s="42"/>
      <c r="K17" s="47"/>
      <c r="L17" s="42">
        <v>1E-3</v>
      </c>
      <c r="M17" s="42"/>
      <c r="N17" s="42"/>
      <c r="O17" s="42">
        <v>0</v>
      </c>
      <c r="P17" s="42"/>
      <c r="Q17" s="47"/>
      <c r="R17" s="42"/>
      <c r="S17" s="42"/>
      <c r="T17" s="42"/>
      <c r="U17" s="42"/>
      <c r="V17" s="43"/>
    </row>
    <row r="18" spans="1:22" x14ac:dyDescent="0.25">
      <c r="A18" s="41" t="s">
        <v>34</v>
      </c>
      <c r="B18" s="42"/>
      <c r="C18" s="42"/>
      <c r="D18" s="42">
        <v>3.8690000000000002E-2</v>
      </c>
      <c r="E18" s="42"/>
      <c r="F18" s="42"/>
      <c r="G18" s="42"/>
      <c r="H18" s="42"/>
      <c r="I18" s="42"/>
      <c r="J18" s="42"/>
      <c r="K18" s="47"/>
      <c r="L18" s="42"/>
      <c r="M18" s="42"/>
      <c r="N18" s="42"/>
      <c r="O18" s="42"/>
      <c r="P18" s="42"/>
      <c r="Q18" s="47"/>
      <c r="R18" s="42"/>
      <c r="S18" s="42"/>
      <c r="T18" s="42"/>
      <c r="U18" s="42"/>
      <c r="V18" s="43"/>
    </row>
    <row r="19" spans="1:22" x14ac:dyDescent="0.25">
      <c r="A19" s="41" t="s">
        <v>35</v>
      </c>
      <c r="B19" s="42"/>
      <c r="C19" s="42"/>
      <c r="D19" s="42"/>
      <c r="E19" s="42"/>
      <c r="F19" s="42"/>
      <c r="G19" s="42"/>
      <c r="H19" s="42"/>
      <c r="I19" s="42"/>
      <c r="J19" s="42"/>
      <c r="K19" s="47"/>
      <c r="L19" s="42"/>
      <c r="M19" s="42"/>
      <c r="N19" s="42"/>
      <c r="O19" s="42"/>
      <c r="P19" s="42"/>
      <c r="Q19" s="47"/>
      <c r="R19" s="42">
        <v>0</v>
      </c>
      <c r="S19" s="42"/>
      <c r="T19" s="42"/>
      <c r="U19" s="42"/>
      <c r="V19" s="43"/>
    </row>
    <row r="20" spans="1:22" x14ac:dyDescent="0.25">
      <c r="A20" s="41">
        <v>12</v>
      </c>
      <c r="B20" s="42">
        <v>0.33631</v>
      </c>
      <c r="C20" s="42">
        <v>7.0580000000000004E-2</v>
      </c>
      <c r="D20" s="42">
        <v>7.8369999999999995E-2</v>
      </c>
      <c r="E20" s="42"/>
      <c r="F20" s="42">
        <v>2.98E-3</v>
      </c>
      <c r="G20" s="42">
        <v>0.28273999999999999</v>
      </c>
      <c r="H20" s="42">
        <v>0.16367000000000001</v>
      </c>
      <c r="I20" s="42">
        <v>0.13294</v>
      </c>
      <c r="J20" s="42">
        <v>7.8369999999999995E-2</v>
      </c>
      <c r="K20" s="47"/>
      <c r="L20" s="42">
        <v>0.31525999999999998</v>
      </c>
      <c r="M20" s="42">
        <v>0.23505999999999999</v>
      </c>
      <c r="N20" s="42">
        <v>9.7220000000000001E-2</v>
      </c>
      <c r="O20" s="42">
        <v>7.5700000000000003E-2</v>
      </c>
      <c r="P20" s="42">
        <v>1.5869999999999999E-2</v>
      </c>
      <c r="Q20" s="47"/>
      <c r="R20" s="42">
        <v>0.15903999999999999</v>
      </c>
      <c r="S20" s="42">
        <v>0.19736999999999999</v>
      </c>
      <c r="T20" s="42"/>
      <c r="U20" s="42">
        <v>7.9369999999999996E-2</v>
      </c>
      <c r="V20" s="43">
        <v>1.98E-3</v>
      </c>
    </row>
    <row r="21" spans="1:22" x14ac:dyDescent="0.25">
      <c r="A21" s="41" t="s">
        <v>36</v>
      </c>
      <c r="B21" s="42"/>
      <c r="C21" s="42"/>
      <c r="D21" s="42"/>
      <c r="E21" s="42"/>
      <c r="F21" s="42"/>
      <c r="G21" s="42"/>
      <c r="H21" s="42">
        <v>0</v>
      </c>
      <c r="I21" s="42"/>
      <c r="J21" s="42"/>
      <c r="K21" s="47"/>
      <c r="L21" s="42"/>
      <c r="M21" s="42"/>
      <c r="N21" s="42">
        <v>0</v>
      </c>
      <c r="O21" s="42">
        <v>1.494E-2</v>
      </c>
      <c r="P21" s="42"/>
      <c r="Q21" s="47"/>
      <c r="R21" s="42"/>
      <c r="S21" s="42"/>
      <c r="T21" s="42"/>
      <c r="U21" s="42"/>
      <c r="V21" s="43"/>
    </row>
    <row r="22" spans="1:22" x14ac:dyDescent="0.25">
      <c r="A22" s="41" t="s">
        <v>37</v>
      </c>
      <c r="B22" s="42"/>
      <c r="C22" s="42"/>
      <c r="D22" s="42">
        <v>1.98E-3</v>
      </c>
      <c r="E22" s="42"/>
      <c r="F22" s="42"/>
      <c r="G22" s="42"/>
      <c r="H22" s="42"/>
      <c r="I22" s="42"/>
      <c r="J22" s="42"/>
      <c r="K22" s="47"/>
      <c r="L22" s="42"/>
      <c r="M22" s="42"/>
      <c r="N22" s="42"/>
      <c r="O22" s="42">
        <v>0</v>
      </c>
      <c r="P22" s="42"/>
      <c r="Q22" s="47"/>
      <c r="R22" s="42"/>
      <c r="S22" s="42"/>
      <c r="T22" s="42"/>
      <c r="U22" s="42"/>
      <c r="V22" s="43"/>
    </row>
    <row r="23" spans="1:22" x14ac:dyDescent="0.25">
      <c r="A23" s="41">
        <v>13</v>
      </c>
      <c r="B23" s="42">
        <v>6.8449999999999997E-2</v>
      </c>
      <c r="C23" s="42">
        <v>0.11928</v>
      </c>
      <c r="D23" s="42">
        <v>3.075E-2</v>
      </c>
      <c r="E23" s="42">
        <v>0</v>
      </c>
      <c r="F23" s="42">
        <v>2.98E-3</v>
      </c>
      <c r="G23" s="42">
        <v>0.16467999999999999</v>
      </c>
      <c r="H23" s="42">
        <v>3.3930000000000002E-2</v>
      </c>
      <c r="I23" s="42">
        <v>0.27778000000000003</v>
      </c>
      <c r="J23" s="42">
        <v>0.24107000000000001</v>
      </c>
      <c r="K23" s="47"/>
      <c r="L23" s="42">
        <v>0.14055999999999999</v>
      </c>
      <c r="M23" s="42">
        <v>0.14143</v>
      </c>
      <c r="N23" s="42">
        <v>9.8210000000000006E-2</v>
      </c>
      <c r="O23" s="42">
        <v>0.25298999999999999</v>
      </c>
      <c r="P23" s="42">
        <v>2.98E-3</v>
      </c>
      <c r="Q23" s="47"/>
      <c r="R23" s="42">
        <v>0.14989</v>
      </c>
      <c r="S23" s="42">
        <v>0.14951999999999999</v>
      </c>
      <c r="T23" s="42"/>
      <c r="U23" s="42">
        <v>9.8999999999999999E-4</v>
      </c>
      <c r="V23" s="43">
        <v>5.9500000000000004E-3</v>
      </c>
    </row>
    <row r="24" spans="1:22" x14ac:dyDescent="0.25">
      <c r="A24" s="41" t="s">
        <v>38</v>
      </c>
      <c r="B24" s="42"/>
      <c r="C24" s="42"/>
      <c r="D24" s="42"/>
      <c r="E24" s="42"/>
      <c r="F24" s="42"/>
      <c r="G24" s="42"/>
      <c r="H24" s="42"/>
      <c r="I24" s="42"/>
      <c r="J24" s="42"/>
      <c r="K24" s="47"/>
      <c r="L24" s="42"/>
      <c r="M24" s="42"/>
      <c r="N24" s="42">
        <v>1.98E-3</v>
      </c>
      <c r="O24" s="42">
        <v>5.1790000000000003E-2</v>
      </c>
      <c r="P24" s="42"/>
      <c r="Q24" s="47"/>
      <c r="R24" s="42"/>
      <c r="S24" s="42"/>
      <c r="T24" s="42"/>
      <c r="U24" s="42"/>
      <c r="V24" s="43"/>
    </row>
    <row r="25" spans="1:22" x14ac:dyDescent="0.25">
      <c r="A25" s="41" t="s">
        <v>39</v>
      </c>
      <c r="B25" s="42"/>
      <c r="C25" s="42"/>
      <c r="D25" s="42">
        <v>1.98E-3</v>
      </c>
      <c r="E25" s="42"/>
      <c r="F25" s="42"/>
      <c r="G25" s="42"/>
      <c r="H25" s="42"/>
      <c r="I25" s="42"/>
      <c r="J25" s="42">
        <v>0</v>
      </c>
      <c r="K25" s="47"/>
      <c r="L25" s="42"/>
      <c r="M25" s="42"/>
      <c r="N25" s="42">
        <v>0</v>
      </c>
      <c r="O25" s="42"/>
      <c r="P25" s="42"/>
      <c r="Q25" s="47"/>
      <c r="R25" s="42"/>
      <c r="S25" s="42"/>
      <c r="T25" s="42"/>
      <c r="U25" s="42"/>
      <c r="V25" s="43"/>
    </row>
    <row r="26" spans="1:22" x14ac:dyDescent="0.25">
      <c r="A26" s="41">
        <v>14</v>
      </c>
      <c r="B26" s="42">
        <v>4.96E-3</v>
      </c>
      <c r="C26" s="42">
        <v>0.16302</v>
      </c>
      <c r="D26" s="42">
        <v>0.20139000000000001</v>
      </c>
      <c r="E26" s="42">
        <v>9.8999999999999999E-4</v>
      </c>
      <c r="F26" s="42">
        <v>8.3330000000000001E-2</v>
      </c>
      <c r="G26" s="42">
        <v>1.389E-2</v>
      </c>
      <c r="H26" s="42">
        <v>5.9899999999999997E-3</v>
      </c>
      <c r="I26" s="42">
        <v>0.28273999999999999</v>
      </c>
      <c r="J26" s="42">
        <v>0.33928999999999998</v>
      </c>
      <c r="K26" s="42">
        <v>0</v>
      </c>
      <c r="L26" s="42">
        <v>5.5219999999999998E-2</v>
      </c>
      <c r="M26" s="42">
        <v>1.8919999999999999E-2</v>
      </c>
      <c r="N26" s="42">
        <v>0.15675</v>
      </c>
      <c r="O26" s="42">
        <v>0.27589999999999998</v>
      </c>
      <c r="P26" s="42">
        <v>4.5629999999999997E-2</v>
      </c>
      <c r="Q26" s="47"/>
      <c r="R26" s="42">
        <v>5.6059999999999999E-2</v>
      </c>
      <c r="S26" s="42">
        <v>5.3830000000000003E-2</v>
      </c>
      <c r="T26" s="42"/>
      <c r="U26" s="42">
        <v>0</v>
      </c>
      <c r="V26" s="43">
        <v>6.1510000000000002E-2</v>
      </c>
    </row>
    <row r="27" spans="1:22" x14ac:dyDescent="0.25">
      <c r="A27" s="41" t="s">
        <v>40</v>
      </c>
      <c r="B27" s="42"/>
      <c r="C27" s="42"/>
      <c r="D27" s="42"/>
      <c r="E27" s="42"/>
      <c r="F27" s="42"/>
      <c r="G27" s="42"/>
      <c r="H27" s="47"/>
      <c r="I27" s="42"/>
      <c r="J27" s="42"/>
      <c r="K27" s="42"/>
      <c r="L27" s="42"/>
      <c r="M27" s="42"/>
      <c r="N27" s="42">
        <v>1.98E-3</v>
      </c>
      <c r="O27" s="42">
        <v>3.984E-2</v>
      </c>
      <c r="P27" s="42"/>
      <c r="Q27" s="47"/>
      <c r="R27" s="42">
        <v>0</v>
      </c>
      <c r="S27" s="42"/>
      <c r="T27" s="42"/>
      <c r="U27" s="42"/>
      <c r="V27" s="43"/>
    </row>
    <row r="28" spans="1:22" x14ac:dyDescent="0.25">
      <c r="A28" s="41" t="s">
        <v>41</v>
      </c>
      <c r="B28" s="42"/>
      <c r="C28" s="42">
        <v>4.9699999999999996E-3</v>
      </c>
      <c r="D28" s="42">
        <v>0</v>
      </c>
      <c r="E28" s="42"/>
      <c r="F28" s="42"/>
      <c r="G28" s="42"/>
      <c r="H28" s="47"/>
      <c r="I28" s="42"/>
      <c r="J28" s="42"/>
      <c r="K28" s="42"/>
      <c r="L28" s="42"/>
      <c r="M28" s="42"/>
      <c r="N28" s="42">
        <v>0</v>
      </c>
      <c r="O28" s="42"/>
      <c r="P28" s="42"/>
      <c r="Q28" s="47"/>
      <c r="R28" s="42"/>
      <c r="S28" s="42"/>
      <c r="T28" s="42"/>
      <c r="U28" s="42"/>
      <c r="V28" s="43"/>
    </row>
    <row r="29" spans="1:22" x14ac:dyDescent="0.25">
      <c r="A29" s="41" t="s">
        <v>42</v>
      </c>
      <c r="B29" s="42"/>
      <c r="C29" s="42"/>
      <c r="D29" s="42"/>
      <c r="E29" s="42"/>
      <c r="F29" s="42"/>
      <c r="G29" s="42"/>
      <c r="H29" s="47"/>
      <c r="I29" s="42"/>
      <c r="J29" s="42"/>
      <c r="K29" s="42"/>
      <c r="L29" s="42"/>
      <c r="M29" s="42"/>
      <c r="N29" s="42"/>
      <c r="O29" s="42"/>
      <c r="P29" s="42"/>
      <c r="Q29" s="47"/>
      <c r="R29" s="42"/>
      <c r="S29" s="42"/>
      <c r="T29" s="42"/>
      <c r="U29" s="42"/>
      <c r="V29" s="43">
        <v>0</v>
      </c>
    </row>
    <row r="30" spans="1:22" x14ac:dyDescent="0.25">
      <c r="A30" s="41">
        <v>15</v>
      </c>
      <c r="B30" s="42">
        <v>0</v>
      </c>
      <c r="C30" s="42">
        <v>0.14810999999999999</v>
      </c>
      <c r="D30" s="42">
        <v>2.0830000000000001E-2</v>
      </c>
      <c r="E30" s="42">
        <v>9.8999999999999999E-4</v>
      </c>
      <c r="F30" s="42">
        <v>0.35020000000000001</v>
      </c>
      <c r="G30" s="42">
        <v>2.98E-3</v>
      </c>
      <c r="H30" s="47"/>
      <c r="I30" s="42">
        <v>0.13689999999999999</v>
      </c>
      <c r="J30" s="42">
        <v>0.20039999999999999</v>
      </c>
      <c r="K30" s="42">
        <v>4.0669999999999998E-2</v>
      </c>
      <c r="L30" s="42">
        <v>0</v>
      </c>
      <c r="M30" s="42">
        <v>2.99E-3</v>
      </c>
      <c r="N30" s="42">
        <v>0.14979999999999999</v>
      </c>
      <c r="O30" s="42">
        <v>0.12350999999999999</v>
      </c>
      <c r="P30" s="42">
        <v>0.36012</v>
      </c>
      <c r="Q30" s="42">
        <v>0</v>
      </c>
      <c r="R30" s="42">
        <v>1.7160000000000002E-2</v>
      </c>
      <c r="S30" s="42">
        <v>4.0669999999999998E-2</v>
      </c>
      <c r="T30" s="42"/>
      <c r="U30" s="42"/>
      <c r="V30" s="43">
        <v>0.15773999999999999</v>
      </c>
    </row>
    <row r="31" spans="1:22" x14ac:dyDescent="0.25">
      <c r="A31" s="41" t="s">
        <v>43</v>
      </c>
      <c r="B31" s="47"/>
      <c r="C31" s="42"/>
      <c r="D31" s="42"/>
      <c r="E31" s="42"/>
      <c r="F31" s="42"/>
      <c r="G31" s="47"/>
      <c r="H31" s="47"/>
      <c r="I31" s="42"/>
      <c r="J31" s="42"/>
      <c r="K31" s="42"/>
      <c r="L31" s="42"/>
      <c r="M31" s="42"/>
      <c r="N31" s="42"/>
      <c r="O31" s="42">
        <v>0</v>
      </c>
      <c r="P31" s="42"/>
      <c r="Q31" s="42"/>
      <c r="R31" s="42"/>
      <c r="S31" s="42"/>
      <c r="T31" s="42"/>
      <c r="U31" s="42"/>
      <c r="V31" s="43"/>
    </row>
    <row r="32" spans="1:22" x14ac:dyDescent="0.25">
      <c r="A32" s="41" t="s">
        <v>44</v>
      </c>
      <c r="B32" s="47"/>
      <c r="C32" s="42"/>
      <c r="D32" s="42"/>
      <c r="E32" s="42"/>
      <c r="F32" s="42">
        <v>9.8999999999999999E-4</v>
      </c>
      <c r="G32" s="47"/>
      <c r="H32" s="47"/>
      <c r="I32" s="42"/>
      <c r="J32" s="42"/>
      <c r="K32" s="42"/>
      <c r="L32" s="42"/>
      <c r="M32" s="42"/>
      <c r="N32" s="42">
        <v>9.8999999999999999E-4</v>
      </c>
      <c r="O32" s="42">
        <v>7.3709999999999998E-2</v>
      </c>
      <c r="P32" s="42"/>
      <c r="Q32" s="42"/>
      <c r="R32" s="42"/>
      <c r="S32" s="42"/>
      <c r="T32" s="42"/>
      <c r="U32" s="42"/>
      <c r="V32" s="43"/>
    </row>
    <row r="33" spans="1:22" x14ac:dyDescent="0.25">
      <c r="A33" s="41" t="s">
        <v>45</v>
      </c>
      <c r="B33" s="47"/>
      <c r="C33" s="42">
        <v>2.8830000000000001E-2</v>
      </c>
      <c r="D33" s="42"/>
      <c r="E33" s="42"/>
      <c r="F33" s="42"/>
      <c r="G33" s="47"/>
      <c r="H33" s="47"/>
      <c r="I33" s="42"/>
      <c r="J33" s="42">
        <v>9.8999999999999999E-4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/>
    </row>
    <row r="34" spans="1:22" x14ac:dyDescent="0.25">
      <c r="A34" s="41" t="s">
        <v>46</v>
      </c>
      <c r="B34" s="47"/>
      <c r="C34" s="42"/>
      <c r="D34" s="42"/>
      <c r="E34" s="42"/>
      <c r="F34" s="42"/>
      <c r="G34" s="47"/>
      <c r="H34" s="47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3">
        <v>0</v>
      </c>
    </row>
    <row r="35" spans="1:22" x14ac:dyDescent="0.25">
      <c r="A35" s="41">
        <v>16</v>
      </c>
      <c r="B35" s="47"/>
      <c r="C35" s="42">
        <v>0.14016000000000001</v>
      </c>
      <c r="D35" s="42">
        <v>0</v>
      </c>
      <c r="E35" s="42">
        <v>5.0599999999999999E-2</v>
      </c>
      <c r="F35" s="42">
        <v>0.28471999999999997</v>
      </c>
      <c r="G35" s="62">
        <v>0</v>
      </c>
      <c r="H35" s="47"/>
      <c r="I35" s="42">
        <v>3.4720000000000001E-2</v>
      </c>
      <c r="J35" s="42">
        <v>9.6229999999999996E-2</v>
      </c>
      <c r="K35" s="42">
        <v>5.4559999999999997E-2</v>
      </c>
      <c r="L35" s="42"/>
      <c r="M35" s="42"/>
      <c r="N35" s="42">
        <v>0.13789999999999999</v>
      </c>
      <c r="O35" s="42">
        <v>3.0880000000000001E-2</v>
      </c>
      <c r="P35" s="42">
        <v>0.33234000000000002</v>
      </c>
      <c r="Q35" s="42">
        <v>0</v>
      </c>
      <c r="R35" s="42">
        <v>1.14E-3</v>
      </c>
      <c r="S35" s="42">
        <v>2.0330000000000001E-2</v>
      </c>
      <c r="T35" s="42"/>
      <c r="U35" s="42"/>
      <c r="V35" s="43">
        <v>0.28671000000000002</v>
      </c>
    </row>
    <row r="36" spans="1:22" x14ac:dyDescent="0.25">
      <c r="A36" s="41" t="s">
        <v>47</v>
      </c>
      <c r="B36" s="47"/>
      <c r="C36" s="42"/>
      <c r="D36" s="42"/>
      <c r="E36" s="42"/>
      <c r="F36" s="42">
        <v>0</v>
      </c>
      <c r="G36" s="47"/>
      <c r="H36" s="47"/>
      <c r="I36" s="42"/>
      <c r="J36" s="42"/>
      <c r="K36" s="42">
        <v>9.8999999999999999E-4</v>
      </c>
      <c r="L36" s="42"/>
      <c r="M36" s="42"/>
      <c r="N36" s="42"/>
      <c r="O36" s="42">
        <v>1.7930000000000001E-2</v>
      </c>
      <c r="P36" s="42"/>
      <c r="Q36" s="42">
        <v>1E-3</v>
      </c>
      <c r="R36" s="42"/>
      <c r="S36" s="42"/>
      <c r="T36" s="42"/>
      <c r="U36" s="42"/>
      <c r="V36" s="43"/>
    </row>
    <row r="37" spans="1:22" x14ac:dyDescent="0.25">
      <c r="A37" s="41" t="s">
        <v>48</v>
      </c>
      <c r="B37" s="47"/>
      <c r="C37" s="42">
        <v>6.6600000000000006E-2</v>
      </c>
      <c r="D37" s="42"/>
      <c r="E37" s="42"/>
      <c r="F37" s="42"/>
      <c r="G37" s="47"/>
      <c r="H37" s="47"/>
      <c r="I37" s="42"/>
      <c r="J37" s="42"/>
      <c r="K37" s="42"/>
      <c r="L37" s="42"/>
      <c r="M37" s="42"/>
      <c r="N37" s="42">
        <v>0</v>
      </c>
      <c r="O37" s="42"/>
      <c r="P37" s="42"/>
      <c r="Q37" s="42"/>
      <c r="R37" s="42"/>
      <c r="S37" s="42"/>
      <c r="T37" s="42"/>
      <c r="U37" s="42"/>
      <c r="V37" s="43"/>
    </row>
    <row r="38" spans="1:22" x14ac:dyDescent="0.25">
      <c r="A38" s="41">
        <v>17</v>
      </c>
      <c r="B38" s="47"/>
      <c r="C38" s="42">
        <v>3.8769999999999999E-2</v>
      </c>
      <c r="D38" s="42"/>
      <c r="E38" s="42">
        <v>0.15773999999999999</v>
      </c>
      <c r="F38" s="42">
        <v>0.16864999999999999</v>
      </c>
      <c r="G38" s="47"/>
      <c r="H38" s="47"/>
      <c r="I38" s="42">
        <v>9.8999999999999999E-4</v>
      </c>
      <c r="J38" s="42">
        <v>1.8849999999999999E-2</v>
      </c>
      <c r="K38" s="42">
        <v>0.10516</v>
      </c>
      <c r="L38" s="42"/>
      <c r="M38" s="42"/>
      <c r="N38" s="42">
        <v>0.14484</v>
      </c>
      <c r="O38" s="42">
        <v>5.9800000000000001E-3</v>
      </c>
      <c r="P38" s="42">
        <v>0.11012</v>
      </c>
      <c r="Q38" s="42">
        <v>2E-3</v>
      </c>
      <c r="R38" s="42">
        <v>0</v>
      </c>
      <c r="S38" s="42">
        <v>0</v>
      </c>
      <c r="T38" s="42"/>
      <c r="U38" s="42"/>
      <c r="V38" s="43">
        <v>0.24801999999999999</v>
      </c>
    </row>
    <row r="39" spans="1:22" x14ac:dyDescent="0.25">
      <c r="A39" s="41" t="s">
        <v>49</v>
      </c>
      <c r="B39" s="47"/>
      <c r="C39" s="42">
        <v>1.99E-3</v>
      </c>
      <c r="D39" s="42"/>
      <c r="E39" s="42"/>
      <c r="F39" s="42"/>
      <c r="G39" s="47"/>
      <c r="H39" s="47"/>
      <c r="I39" s="42"/>
      <c r="J39" s="42"/>
      <c r="K39" s="42">
        <v>1.98E-3</v>
      </c>
      <c r="L39" s="42"/>
      <c r="M39" s="42"/>
      <c r="N39" s="42"/>
      <c r="O39" s="42">
        <v>1E-3</v>
      </c>
      <c r="P39" s="42"/>
      <c r="Q39" s="42"/>
      <c r="R39" s="42"/>
      <c r="S39" s="42"/>
      <c r="T39" s="42"/>
      <c r="U39" s="42"/>
      <c r="V39" s="43"/>
    </row>
    <row r="40" spans="1:22" x14ac:dyDescent="0.25">
      <c r="A40" s="41" t="s">
        <v>50</v>
      </c>
      <c r="B40" s="47"/>
      <c r="C40" s="42">
        <v>0.14413999999999999</v>
      </c>
      <c r="D40" s="42"/>
      <c r="E40" s="42"/>
      <c r="F40" s="42"/>
      <c r="G40" s="47"/>
      <c r="H40" s="47"/>
      <c r="I40" s="42"/>
      <c r="J40" s="42"/>
      <c r="K40" s="42">
        <v>1.1900000000000001E-2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</row>
    <row r="41" spans="1:22" x14ac:dyDescent="0.25">
      <c r="A41" s="41">
        <v>18</v>
      </c>
      <c r="B41" s="47"/>
      <c r="C41" s="42">
        <v>9.8999999999999999E-4</v>
      </c>
      <c r="D41" s="42"/>
      <c r="E41" s="42">
        <v>5.8529999999999999E-2</v>
      </c>
      <c r="F41" s="42">
        <v>9.6229999999999996E-2</v>
      </c>
      <c r="G41" s="47"/>
      <c r="H41" s="47"/>
      <c r="I41" s="42">
        <v>9.8999999999999999E-4</v>
      </c>
      <c r="J41" s="42">
        <v>0</v>
      </c>
      <c r="K41" s="42">
        <v>0.18948000000000001</v>
      </c>
      <c r="L41" s="42"/>
      <c r="M41" s="42"/>
      <c r="N41" s="42">
        <v>8.7300000000000003E-2</v>
      </c>
      <c r="O41" s="42"/>
      <c r="P41" s="42">
        <v>1.7860000000000001E-2</v>
      </c>
      <c r="Q41" s="42">
        <v>7.0000000000000001E-3</v>
      </c>
      <c r="R41" s="42"/>
      <c r="S41" s="42"/>
      <c r="T41" s="42"/>
      <c r="U41" s="42"/>
      <c r="V41" s="43">
        <v>0.14285999999999999</v>
      </c>
    </row>
    <row r="42" spans="1:22" x14ac:dyDescent="0.25">
      <c r="A42" s="41" t="s">
        <v>51</v>
      </c>
      <c r="B42" s="47"/>
      <c r="C42" s="42"/>
      <c r="D42" s="42"/>
      <c r="E42" s="42"/>
      <c r="F42" s="42"/>
      <c r="G42" s="47"/>
      <c r="H42" s="47"/>
      <c r="I42" s="47"/>
      <c r="J42" s="42"/>
      <c r="K42" s="42">
        <v>9.8999999999999999E-4</v>
      </c>
      <c r="L42" s="42"/>
      <c r="M42" s="42"/>
      <c r="N42" s="42">
        <v>0</v>
      </c>
      <c r="O42" s="42">
        <v>0</v>
      </c>
      <c r="P42" s="42"/>
      <c r="Q42" s="42">
        <v>1E-3</v>
      </c>
      <c r="R42" s="42"/>
      <c r="S42" s="42"/>
      <c r="T42" s="42"/>
      <c r="U42" s="42"/>
      <c r="V42" s="43"/>
    </row>
    <row r="43" spans="1:22" x14ac:dyDescent="0.25">
      <c r="A43" s="41" t="s">
        <v>52</v>
      </c>
      <c r="B43" s="47"/>
      <c r="C43" s="42">
        <v>2.5839999999999998E-2</v>
      </c>
      <c r="D43" s="42"/>
      <c r="E43" s="42"/>
      <c r="F43" s="42"/>
      <c r="G43" s="47"/>
      <c r="H43" s="47"/>
      <c r="I43" s="47"/>
      <c r="J43" s="42"/>
      <c r="K43" s="42">
        <v>2.98E-3</v>
      </c>
      <c r="L43" s="42"/>
      <c r="M43" s="42"/>
      <c r="N43" s="42"/>
      <c r="O43" s="42"/>
      <c r="P43" s="42"/>
      <c r="Q43" s="42">
        <v>0</v>
      </c>
      <c r="R43" s="42"/>
      <c r="S43" s="42"/>
      <c r="T43" s="42"/>
      <c r="U43" s="42"/>
      <c r="V43" s="43">
        <v>0</v>
      </c>
    </row>
    <row r="44" spans="1:22" x14ac:dyDescent="0.25">
      <c r="A44" s="41">
        <v>19</v>
      </c>
      <c r="B44" s="47"/>
      <c r="C44" s="42">
        <v>0</v>
      </c>
      <c r="D44" s="42"/>
      <c r="E44" s="42">
        <v>0.18551999999999999</v>
      </c>
      <c r="F44" s="42">
        <v>7.9399999999999991E-3</v>
      </c>
      <c r="G44" s="47"/>
      <c r="H44" s="47"/>
      <c r="I44" s="47"/>
      <c r="J44" s="42">
        <v>9.8999999999999999E-4</v>
      </c>
      <c r="K44" s="42">
        <v>0.19048000000000001</v>
      </c>
      <c r="L44" s="42"/>
      <c r="M44" s="42"/>
      <c r="N44" s="42">
        <v>5.5559999999999998E-2</v>
      </c>
      <c r="O44" s="42"/>
      <c r="P44" s="42">
        <v>9.8999999999999999E-4</v>
      </c>
      <c r="Q44" s="42">
        <v>7.4999999999999997E-2</v>
      </c>
      <c r="R44" s="42"/>
      <c r="S44" s="42"/>
      <c r="T44" s="42"/>
      <c r="U44" s="42"/>
      <c r="V44" s="43">
        <v>7.5399999999999995E-2</v>
      </c>
    </row>
    <row r="45" spans="1:22" x14ac:dyDescent="0.25">
      <c r="A45" s="41" t="s">
        <v>53</v>
      </c>
      <c r="B45" s="47"/>
      <c r="C45" s="42"/>
      <c r="D45" s="42"/>
      <c r="E45" s="42"/>
      <c r="F45" s="42"/>
      <c r="G45" s="47"/>
      <c r="H45" s="47"/>
      <c r="I45" s="47"/>
      <c r="J45" s="47"/>
      <c r="K45" s="42">
        <v>4.96E-3</v>
      </c>
      <c r="L45" s="42"/>
      <c r="M45" s="42"/>
      <c r="N45" s="42"/>
      <c r="O45" s="42"/>
      <c r="P45" s="42"/>
      <c r="Q45" s="42">
        <v>3.0000000000000001E-3</v>
      </c>
      <c r="R45" s="42"/>
      <c r="S45" s="42"/>
      <c r="T45" s="42"/>
      <c r="U45" s="42"/>
      <c r="V45" s="43"/>
    </row>
    <row r="46" spans="1:22" x14ac:dyDescent="0.25">
      <c r="A46" s="41" t="s">
        <v>54</v>
      </c>
      <c r="B46" s="47"/>
      <c r="C46" s="42">
        <v>3.98E-3</v>
      </c>
      <c r="D46" s="42"/>
      <c r="E46" s="42"/>
      <c r="F46" s="42"/>
      <c r="G46" s="47"/>
      <c r="H46" s="47"/>
      <c r="I46" s="47"/>
      <c r="J46" s="47"/>
      <c r="K46" s="42">
        <v>7.9399999999999991E-3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/>
    </row>
    <row r="47" spans="1:22" x14ac:dyDescent="0.25">
      <c r="A47" s="41">
        <v>20</v>
      </c>
      <c r="B47" s="47"/>
      <c r="C47" s="42"/>
      <c r="D47" s="42"/>
      <c r="E47" s="42">
        <v>0.13194</v>
      </c>
      <c r="F47" s="42">
        <v>0</v>
      </c>
      <c r="G47" s="47"/>
      <c r="H47" s="47"/>
      <c r="I47" s="47"/>
      <c r="J47" s="47"/>
      <c r="K47" s="42">
        <v>0.17262</v>
      </c>
      <c r="L47" s="42"/>
      <c r="M47" s="42"/>
      <c r="N47" s="42">
        <v>3.4720000000000001E-2</v>
      </c>
      <c r="O47" s="42"/>
      <c r="P47" s="42">
        <v>0</v>
      </c>
      <c r="Q47" s="42">
        <v>8.7999999999999995E-2</v>
      </c>
      <c r="R47" s="42"/>
      <c r="S47" s="42"/>
      <c r="T47" s="42"/>
      <c r="U47" s="42"/>
      <c r="V47" s="43">
        <v>1.5869999999999999E-2</v>
      </c>
    </row>
    <row r="48" spans="1:22" x14ac:dyDescent="0.25">
      <c r="A48" s="41" t="s">
        <v>55</v>
      </c>
      <c r="B48" s="47"/>
      <c r="C48" s="42"/>
      <c r="D48" s="42"/>
      <c r="E48" s="42"/>
      <c r="F48" s="42"/>
      <c r="G48" s="47"/>
      <c r="H48" s="47"/>
      <c r="I48" s="47"/>
      <c r="J48" s="47"/>
      <c r="K48" s="42">
        <v>0</v>
      </c>
      <c r="L48" s="42"/>
      <c r="M48" s="42"/>
      <c r="N48" s="42">
        <v>0</v>
      </c>
      <c r="O48" s="42"/>
      <c r="P48" s="42"/>
      <c r="Q48" s="42">
        <v>3.0000000000000001E-3</v>
      </c>
      <c r="R48" s="42"/>
      <c r="S48" s="42"/>
      <c r="T48" s="42"/>
      <c r="U48" s="42"/>
      <c r="V48" s="43"/>
    </row>
    <row r="49" spans="1:22" x14ac:dyDescent="0.25">
      <c r="A49" s="41" t="s">
        <v>56</v>
      </c>
      <c r="B49" s="47"/>
      <c r="C49" s="42">
        <v>9.8999999999999999E-4</v>
      </c>
      <c r="D49" s="42"/>
      <c r="E49" s="42"/>
      <c r="F49" s="42"/>
      <c r="G49" s="47"/>
      <c r="H49" s="47"/>
      <c r="I49" s="47"/>
      <c r="J49" s="47"/>
      <c r="K49" s="42">
        <v>0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/>
    </row>
    <row r="50" spans="1:22" x14ac:dyDescent="0.25">
      <c r="A50" s="41">
        <v>21</v>
      </c>
      <c r="B50" s="47"/>
      <c r="C50" s="42"/>
      <c r="D50" s="42"/>
      <c r="E50" s="42">
        <v>5.7540000000000001E-2</v>
      </c>
      <c r="F50" s="42"/>
      <c r="G50" s="47"/>
      <c r="H50" s="47"/>
      <c r="I50" s="47"/>
      <c r="J50" s="47"/>
      <c r="K50" s="42">
        <v>7.8369999999999995E-2</v>
      </c>
      <c r="L50" s="42"/>
      <c r="M50" s="42"/>
      <c r="N50" s="42">
        <v>1.1900000000000001E-2</v>
      </c>
      <c r="O50" s="42"/>
      <c r="P50" s="42">
        <v>0</v>
      </c>
      <c r="Q50" s="42">
        <v>0.106</v>
      </c>
      <c r="R50" s="42"/>
      <c r="S50" s="42"/>
      <c r="T50" s="42"/>
      <c r="U50" s="42"/>
      <c r="V50" s="43">
        <v>0</v>
      </c>
    </row>
    <row r="51" spans="1:22" x14ac:dyDescent="0.25">
      <c r="A51" s="41" t="s">
        <v>57</v>
      </c>
      <c r="B51" s="47"/>
      <c r="C51" s="42"/>
      <c r="D51" s="42"/>
      <c r="E51" s="42"/>
      <c r="F51" s="42"/>
      <c r="G51" s="47"/>
      <c r="H51" s="47"/>
      <c r="I51" s="47"/>
      <c r="J51" s="47"/>
      <c r="K51" s="42"/>
      <c r="L51" s="42"/>
      <c r="M51" s="42"/>
      <c r="N51" s="42"/>
      <c r="O51" s="42"/>
      <c r="P51" s="42"/>
      <c r="Q51" s="42">
        <v>1E-3</v>
      </c>
      <c r="R51" s="42"/>
      <c r="S51" s="42"/>
      <c r="T51" s="42"/>
      <c r="U51" s="42"/>
      <c r="V51" s="43"/>
    </row>
    <row r="52" spans="1:22" x14ac:dyDescent="0.25">
      <c r="A52" s="41">
        <v>22</v>
      </c>
      <c r="B52" s="47"/>
      <c r="C52" s="42"/>
      <c r="D52" s="42"/>
      <c r="E52" s="42">
        <v>8.5319999999999993E-2</v>
      </c>
      <c r="F52" s="42"/>
      <c r="G52" s="47"/>
      <c r="H52" s="47"/>
      <c r="I52" s="47"/>
      <c r="J52" s="47"/>
      <c r="K52" s="42">
        <v>5.9520000000000003E-2</v>
      </c>
      <c r="L52" s="42"/>
      <c r="M52" s="42"/>
      <c r="N52" s="42">
        <v>4.96E-3</v>
      </c>
      <c r="O52" s="42"/>
      <c r="P52" s="42"/>
      <c r="Q52" s="42">
        <v>0.156</v>
      </c>
      <c r="R52" s="42"/>
      <c r="S52" s="42"/>
      <c r="T52" s="42"/>
      <c r="U52" s="42"/>
      <c r="V52" s="43">
        <v>0</v>
      </c>
    </row>
    <row r="53" spans="1:22" x14ac:dyDescent="0.25">
      <c r="A53" s="41" t="s">
        <v>58</v>
      </c>
      <c r="B53" s="47"/>
      <c r="C53" s="42"/>
      <c r="D53" s="42"/>
      <c r="E53" s="42"/>
      <c r="F53" s="42"/>
      <c r="G53" s="47"/>
      <c r="H53" s="47"/>
      <c r="I53" s="47"/>
      <c r="J53" s="47"/>
      <c r="K53" s="42"/>
      <c r="L53" s="42"/>
      <c r="M53" s="42"/>
      <c r="N53" s="42"/>
      <c r="O53" s="42"/>
      <c r="P53" s="42"/>
      <c r="Q53" s="42">
        <v>6.0000000000000001E-3</v>
      </c>
      <c r="R53" s="47"/>
      <c r="S53" s="47"/>
      <c r="T53" s="47"/>
      <c r="U53" s="47"/>
      <c r="V53" s="48"/>
    </row>
    <row r="54" spans="1:22" x14ac:dyDescent="0.25">
      <c r="A54" s="41">
        <v>23</v>
      </c>
      <c r="B54" s="47"/>
      <c r="C54" s="42"/>
      <c r="D54" s="42"/>
      <c r="E54" s="42">
        <v>0.12401</v>
      </c>
      <c r="F54" s="42"/>
      <c r="G54" s="47"/>
      <c r="H54" s="47"/>
      <c r="I54" s="47"/>
      <c r="J54" s="47"/>
      <c r="K54" s="42">
        <v>4.1669999999999999E-2</v>
      </c>
      <c r="L54" s="42"/>
      <c r="M54" s="42"/>
      <c r="N54" s="42">
        <v>1.98E-3</v>
      </c>
      <c r="O54" s="42"/>
      <c r="P54" s="42"/>
      <c r="Q54" s="42">
        <v>0.14000000000000001</v>
      </c>
      <c r="R54" s="47"/>
      <c r="S54" s="47"/>
      <c r="T54" s="47"/>
      <c r="U54" s="47"/>
      <c r="V54" s="48"/>
    </row>
    <row r="55" spans="1:22" x14ac:dyDescent="0.25">
      <c r="A55" s="41" t="s">
        <v>59</v>
      </c>
      <c r="B55" s="47"/>
      <c r="C55" s="42"/>
      <c r="D55" s="42"/>
      <c r="E55" s="42"/>
      <c r="F55" s="42"/>
      <c r="G55" s="47"/>
      <c r="H55" s="47"/>
      <c r="I55" s="47"/>
      <c r="J55" s="47"/>
      <c r="K55" s="42"/>
      <c r="L55" s="42"/>
      <c r="M55" s="42"/>
      <c r="N55" s="42"/>
      <c r="O55" s="42"/>
      <c r="P55" s="42"/>
      <c r="Q55" s="42">
        <v>1E-3</v>
      </c>
      <c r="R55" s="47"/>
      <c r="S55" s="47"/>
      <c r="T55" s="47"/>
      <c r="U55" s="47"/>
      <c r="V55" s="48"/>
    </row>
    <row r="56" spans="1:22" x14ac:dyDescent="0.25">
      <c r="A56" s="41" t="s">
        <v>60</v>
      </c>
      <c r="B56" s="47"/>
      <c r="C56" s="42"/>
      <c r="D56" s="42"/>
      <c r="E56" s="42"/>
      <c r="F56" s="42"/>
      <c r="G56" s="47"/>
      <c r="H56" s="47"/>
      <c r="I56" s="47"/>
      <c r="J56" s="47"/>
      <c r="K56" s="42"/>
      <c r="L56" s="42"/>
      <c r="M56" s="42"/>
      <c r="N56" s="42"/>
      <c r="O56" s="42"/>
      <c r="P56" s="42"/>
      <c r="Q56" s="42">
        <v>0</v>
      </c>
      <c r="R56" s="47"/>
      <c r="S56" s="47"/>
      <c r="T56" s="47"/>
      <c r="U56" s="47"/>
      <c r="V56" s="48"/>
    </row>
    <row r="57" spans="1:22" x14ac:dyDescent="0.25">
      <c r="A57" s="41">
        <v>24</v>
      </c>
      <c r="B57" s="47"/>
      <c r="C57" s="42"/>
      <c r="D57" s="42"/>
      <c r="E57" s="42">
        <v>7.0440000000000003E-2</v>
      </c>
      <c r="F57" s="42"/>
      <c r="G57" s="47"/>
      <c r="H57" s="47"/>
      <c r="I57" s="47"/>
      <c r="J57" s="47"/>
      <c r="K57" s="42">
        <v>1.984E-2</v>
      </c>
      <c r="L57" s="42"/>
      <c r="M57" s="42"/>
      <c r="N57" s="42">
        <v>2.98E-3</v>
      </c>
      <c r="O57" s="42"/>
      <c r="P57" s="42"/>
      <c r="Q57" s="42">
        <v>0.183</v>
      </c>
      <c r="R57" s="47"/>
      <c r="S57" s="47"/>
      <c r="T57" s="47"/>
      <c r="U57" s="47"/>
      <c r="V57" s="48"/>
    </row>
    <row r="58" spans="1:22" x14ac:dyDescent="0.25">
      <c r="A58" s="41" t="s">
        <v>61</v>
      </c>
      <c r="B58" s="47"/>
      <c r="C58" s="42"/>
      <c r="D58" s="42"/>
      <c r="E58" s="42"/>
      <c r="F58" s="42"/>
      <c r="G58" s="47"/>
      <c r="H58" s="47"/>
      <c r="I58" s="47"/>
      <c r="J58" s="47"/>
      <c r="K58" s="42"/>
      <c r="L58" s="42"/>
      <c r="M58" s="42"/>
      <c r="N58" s="42"/>
      <c r="O58" s="42"/>
      <c r="P58" s="42"/>
      <c r="Q58" s="42">
        <v>1E-3</v>
      </c>
      <c r="R58" s="47"/>
      <c r="S58" s="47"/>
      <c r="T58" s="47"/>
      <c r="U58" s="47"/>
      <c r="V58" s="48"/>
    </row>
    <row r="59" spans="1:22" x14ac:dyDescent="0.25">
      <c r="A59" s="41">
        <v>25</v>
      </c>
      <c r="B59" s="47"/>
      <c r="C59" s="42"/>
      <c r="D59" s="42"/>
      <c r="E59" s="42">
        <v>6.3490000000000005E-2</v>
      </c>
      <c r="F59" s="42"/>
      <c r="G59" s="47"/>
      <c r="H59" s="47"/>
      <c r="I59" s="47"/>
      <c r="J59" s="47"/>
      <c r="K59" s="42">
        <v>1.4880000000000001E-2</v>
      </c>
      <c r="L59" s="42"/>
      <c r="M59" s="42"/>
      <c r="N59" s="42">
        <v>0</v>
      </c>
      <c r="O59" s="42"/>
      <c r="P59" s="42"/>
      <c r="Q59" s="42">
        <v>0.123</v>
      </c>
      <c r="R59" s="47"/>
      <c r="S59" s="47"/>
      <c r="T59" s="47"/>
      <c r="U59" s="47"/>
      <c r="V59" s="48"/>
    </row>
    <row r="60" spans="1:22" x14ac:dyDescent="0.25">
      <c r="A60" s="41" t="s">
        <v>62</v>
      </c>
      <c r="B60" s="47"/>
      <c r="C60" s="42"/>
      <c r="D60" s="42"/>
      <c r="E60" s="42"/>
      <c r="F60" s="42"/>
      <c r="G60" s="47"/>
      <c r="H60" s="47"/>
      <c r="I60" s="47"/>
      <c r="J60" s="47"/>
      <c r="K60" s="42"/>
      <c r="L60" s="42"/>
      <c r="M60" s="42"/>
      <c r="N60" s="42"/>
      <c r="O60" s="42"/>
      <c r="P60" s="42"/>
      <c r="Q60" s="42">
        <v>1E-3</v>
      </c>
      <c r="R60" s="47"/>
      <c r="S60" s="47"/>
      <c r="T60" s="47"/>
      <c r="U60" s="47"/>
      <c r="V60" s="48"/>
    </row>
    <row r="61" spans="1:22" x14ac:dyDescent="0.25">
      <c r="A61" s="41" t="s">
        <v>63</v>
      </c>
      <c r="B61" s="47"/>
      <c r="C61" s="42"/>
      <c r="D61" s="42"/>
      <c r="E61" s="42"/>
      <c r="F61" s="42"/>
      <c r="G61" s="47"/>
      <c r="H61" s="47"/>
      <c r="I61" s="47"/>
      <c r="J61" s="47"/>
      <c r="K61" s="42"/>
      <c r="L61" s="42"/>
      <c r="M61" s="42"/>
      <c r="N61" s="42"/>
      <c r="O61" s="42"/>
      <c r="P61" s="42"/>
      <c r="Q61" s="42">
        <v>0</v>
      </c>
      <c r="R61" s="47"/>
      <c r="S61" s="47"/>
      <c r="T61" s="47"/>
      <c r="U61" s="47"/>
      <c r="V61" s="48"/>
    </row>
    <row r="62" spans="1:22" x14ac:dyDescent="0.25">
      <c r="A62" s="41">
        <v>26</v>
      </c>
      <c r="B62" s="47"/>
      <c r="C62" s="42"/>
      <c r="D62" s="42"/>
      <c r="E62" s="42">
        <v>8.9300000000000004E-3</v>
      </c>
      <c r="F62" s="42"/>
      <c r="G62" s="47"/>
      <c r="H62" s="47"/>
      <c r="I62" s="47"/>
      <c r="J62" s="47"/>
      <c r="K62" s="42">
        <v>9.8999999999999999E-4</v>
      </c>
      <c r="L62" s="42"/>
      <c r="M62" s="42"/>
      <c r="N62" s="42"/>
      <c r="O62" s="42"/>
      <c r="P62" s="42"/>
      <c r="Q62" s="42">
        <v>6.4000000000000001E-2</v>
      </c>
      <c r="R62" s="47"/>
      <c r="S62" s="47"/>
      <c r="T62" s="47"/>
      <c r="U62" s="47"/>
      <c r="V62" s="48"/>
    </row>
    <row r="63" spans="1:22" x14ac:dyDescent="0.25">
      <c r="A63" s="41" t="s">
        <v>64</v>
      </c>
      <c r="B63" s="47"/>
      <c r="C63" s="42"/>
      <c r="D63" s="42"/>
      <c r="E63" s="42"/>
      <c r="F63" s="42"/>
      <c r="G63" s="47"/>
      <c r="H63" s="47"/>
      <c r="I63" s="47"/>
      <c r="J63" s="47"/>
      <c r="K63" s="42"/>
      <c r="L63" s="42"/>
      <c r="M63" s="42"/>
      <c r="N63" s="42"/>
      <c r="O63" s="42"/>
      <c r="P63" s="42"/>
      <c r="Q63" s="42">
        <v>0</v>
      </c>
      <c r="R63" s="47"/>
      <c r="S63" s="47"/>
      <c r="T63" s="47"/>
      <c r="U63" s="47"/>
      <c r="V63" s="48"/>
    </row>
    <row r="64" spans="1:22" x14ac:dyDescent="0.25">
      <c r="A64" s="41" t="s">
        <v>65</v>
      </c>
      <c r="B64" s="47"/>
      <c r="C64" s="42"/>
      <c r="D64" s="42"/>
      <c r="E64" s="42"/>
      <c r="F64" s="42"/>
      <c r="G64" s="47"/>
      <c r="H64" s="47"/>
      <c r="I64" s="47"/>
      <c r="J64" s="47"/>
      <c r="K64" s="42"/>
      <c r="L64" s="42"/>
      <c r="M64" s="42"/>
      <c r="N64" s="42"/>
      <c r="O64" s="42"/>
      <c r="P64" s="42"/>
      <c r="Q64" s="42">
        <v>0</v>
      </c>
      <c r="R64" s="47"/>
      <c r="S64" s="47"/>
      <c r="T64" s="47"/>
      <c r="U64" s="47"/>
      <c r="V64" s="48"/>
    </row>
    <row r="65" spans="1:22" x14ac:dyDescent="0.25">
      <c r="A65" s="41">
        <v>27</v>
      </c>
      <c r="B65" s="47"/>
      <c r="C65" s="42"/>
      <c r="D65" s="42"/>
      <c r="E65" s="42">
        <v>3.9699999999999996E-3</v>
      </c>
      <c r="F65" s="42"/>
      <c r="G65" s="47"/>
      <c r="H65" s="47"/>
      <c r="I65" s="47"/>
      <c r="J65" s="47"/>
      <c r="K65" s="42"/>
      <c r="L65" s="42"/>
      <c r="M65" s="42"/>
      <c r="N65" s="42"/>
      <c r="O65" s="42"/>
      <c r="P65" s="42"/>
      <c r="Q65" s="42">
        <v>2.1000000000000001E-2</v>
      </c>
      <c r="R65" s="47"/>
      <c r="S65" s="47"/>
      <c r="T65" s="47"/>
      <c r="U65" s="47"/>
      <c r="V65" s="48"/>
    </row>
    <row r="66" spans="1:22" x14ac:dyDescent="0.25">
      <c r="A66" s="41" t="s">
        <v>66</v>
      </c>
      <c r="B66" s="47"/>
      <c r="C66" s="42"/>
      <c r="D66" s="42"/>
      <c r="E66" s="42"/>
      <c r="F66" s="42"/>
      <c r="G66" s="47"/>
      <c r="H66" s="47"/>
      <c r="I66" s="47"/>
      <c r="J66" s="47"/>
      <c r="K66" s="42"/>
      <c r="L66" s="42"/>
      <c r="M66" s="42"/>
      <c r="N66" s="42"/>
      <c r="O66" s="42"/>
      <c r="P66" s="42"/>
      <c r="Q66" s="42">
        <v>0</v>
      </c>
      <c r="R66" s="47"/>
      <c r="S66" s="47"/>
      <c r="T66" s="47"/>
      <c r="U66" s="47"/>
      <c r="V66" s="48"/>
    </row>
    <row r="67" spans="1:22" x14ac:dyDescent="0.25">
      <c r="A67" s="41">
        <v>28</v>
      </c>
      <c r="B67" s="47"/>
      <c r="C67" s="42"/>
      <c r="D67" s="42"/>
      <c r="E67" s="42">
        <v>0</v>
      </c>
      <c r="F67" s="42"/>
      <c r="G67" s="47"/>
      <c r="H67" s="47"/>
      <c r="I67" s="47"/>
      <c r="J67" s="47"/>
      <c r="K67" s="42"/>
      <c r="L67" s="42"/>
      <c r="M67" s="42"/>
      <c r="N67" s="42"/>
      <c r="O67" s="42"/>
      <c r="P67" s="42"/>
      <c r="Q67" s="42">
        <v>8.9999999999999993E-3</v>
      </c>
      <c r="R67" s="47"/>
      <c r="S67" s="47"/>
      <c r="T67" s="47"/>
      <c r="U67" s="47"/>
      <c r="V67" s="48"/>
    </row>
    <row r="68" spans="1:22" x14ac:dyDescent="0.25">
      <c r="A68" s="41">
        <v>29</v>
      </c>
      <c r="B68" s="47"/>
      <c r="C68" s="42"/>
      <c r="D68" s="42"/>
      <c r="E68" s="42">
        <v>0</v>
      </c>
      <c r="F68" s="42"/>
      <c r="G68" s="47"/>
      <c r="H68" s="47"/>
      <c r="I68" s="47"/>
      <c r="J68" s="47"/>
      <c r="K68" s="42"/>
      <c r="L68" s="42"/>
      <c r="M68" s="42"/>
      <c r="N68" s="42"/>
      <c r="O68" s="42"/>
      <c r="P68" s="42"/>
      <c r="Q68" s="42">
        <v>7.0000000000000001E-3</v>
      </c>
      <c r="R68" s="47"/>
      <c r="S68" s="47"/>
      <c r="T68" s="47"/>
      <c r="U68" s="47"/>
      <c r="V68" s="48"/>
    </row>
    <row r="69" spans="1:22" x14ac:dyDescent="0.25">
      <c r="A69" s="41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2"/>
      <c r="L69" s="47"/>
      <c r="M69" s="47"/>
      <c r="N69" s="47"/>
      <c r="O69" s="47"/>
      <c r="P69" s="47"/>
      <c r="Q69" s="42">
        <v>1E-3</v>
      </c>
      <c r="R69" s="47"/>
      <c r="S69" s="47"/>
      <c r="T69" s="47"/>
      <c r="U69" s="47"/>
      <c r="V69" s="48"/>
    </row>
    <row r="70" spans="1:22" x14ac:dyDescent="0.25">
      <c r="A70" s="65"/>
      <c r="B70" s="66" t="s">
        <v>0</v>
      </c>
      <c r="C70" s="66" t="s">
        <v>7</v>
      </c>
      <c r="D70" s="66" t="s">
        <v>10</v>
      </c>
      <c r="E70" s="66" t="s">
        <v>9</v>
      </c>
      <c r="F70" s="66" t="s">
        <v>11</v>
      </c>
      <c r="G70" s="66" t="s">
        <v>12</v>
      </c>
      <c r="H70" s="66" t="s">
        <v>13</v>
      </c>
      <c r="I70" s="66" t="s">
        <v>14</v>
      </c>
      <c r="J70" s="66" t="s">
        <v>1</v>
      </c>
      <c r="K70" s="66" t="s">
        <v>2</v>
      </c>
      <c r="L70" s="66" t="s">
        <v>3</v>
      </c>
      <c r="M70" s="66" t="s">
        <v>4</v>
      </c>
      <c r="N70" s="66" t="s">
        <v>5</v>
      </c>
      <c r="O70" s="66" t="s">
        <v>6</v>
      </c>
      <c r="P70" s="66" t="s">
        <v>8</v>
      </c>
      <c r="Q70" s="66" t="s">
        <v>15</v>
      </c>
      <c r="R70" s="66" t="s">
        <v>141</v>
      </c>
      <c r="S70" s="66" t="s">
        <v>142</v>
      </c>
      <c r="T70" s="66" t="s">
        <v>16</v>
      </c>
      <c r="U70" s="66" t="s">
        <v>17</v>
      </c>
      <c r="V70" s="67" t="s">
        <v>18</v>
      </c>
    </row>
    <row r="71" spans="1:22" x14ac:dyDescent="0.25">
      <c r="A71" s="44" t="s">
        <v>19</v>
      </c>
      <c r="B71" s="47">
        <v>504</v>
      </c>
      <c r="C71" s="47">
        <v>503</v>
      </c>
      <c r="D71" s="47">
        <v>504</v>
      </c>
      <c r="E71" s="47">
        <v>504</v>
      </c>
      <c r="F71" s="47">
        <v>504</v>
      </c>
      <c r="G71" s="47">
        <v>504</v>
      </c>
      <c r="H71" s="47">
        <v>501</v>
      </c>
      <c r="I71" s="47">
        <v>504</v>
      </c>
      <c r="J71" s="47">
        <v>504</v>
      </c>
      <c r="K71" s="47">
        <v>504</v>
      </c>
      <c r="L71" s="47">
        <v>498</v>
      </c>
      <c r="M71" s="47">
        <v>502</v>
      </c>
      <c r="N71" s="47">
        <v>504</v>
      </c>
      <c r="O71" s="47">
        <v>502</v>
      </c>
      <c r="P71" s="47">
        <v>504</v>
      </c>
      <c r="Q71" s="47">
        <v>500</v>
      </c>
      <c r="R71" s="47">
        <v>437</v>
      </c>
      <c r="S71" s="47">
        <v>418</v>
      </c>
      <c r="T71" s="47">
        <v>504</v>
      </c>
      <c r="U71" s="47">
        <v>504</v>
      </c>
      <c r="V71" s="48">
        <v>504</v>
      </c>
    </row>
    <row r="72" spans="1:22" x14ac:dyDescent="0.25">
      <c r="A72" s="41" t="s">
        <v>20</v>
      </c>
      <c r="B72" s="47">
        <v>8</v>
      </c>
      <c r="C72" s="47">
        <v>17</v>
      </c>
      <c r="D72" s="47">
        <v>11</v>
      </c>
      <c r="E72" s="47">
        <v>14</v>
      </c>
      <c r="F72" s="47">
        <v>11</v>
      </c>
      <c r="G72" s="47">
        <v>9</v>
      </c>
      <c r="H72" s="47">
        <v>8</v>
      </c>
      <c r="I72" s="47">
        <v>11</v>
      </c>
      <c r="J72" s="47">
        <v>14</v>
      </c>
      <c r="K72" s="47">
        <v>19</v>
      </c>
      <c r="L72" s="47">
        <v>8</v>
      </c>
      <c r="M72" s="47">
        <v>8</v>
      </c>
      <c r="N72" s="47">
        <v>18</v>
      </c>
      <c r="O72" s="47">
        <v>14</v>
      </c>
      <c r="P72" s="47">
        <v>11</v>
      </c>
      <c r="Q72" s="47">
        <v>23</v>
      </c>
      <c r="R72" s="47">
        <v>12</v>
      </c>
      <c r="S72" s="47">
        <v>12</v>
      </c>
      <c r="T72" s="47">
        <v>7</v>
      </c>
      <c r="U72" s="47">
        <v>9</v>
      </c>
      <c r="V72" s="48">
        <v>10</v>
      </c>
    </row>
    <row r="73" spans="1:22" x14ac:dyDescent="0.25">
      <c r="A73" s="41" t="s">
        <v>21</v>
      </c>
      <c r="B73" s="42">
        <v>0.75</v>
      </c>
      <c r="C73" s="42">
        <v>0.84890656063618286</v>
      </c>
      <c r="D73" s="42">
        <v>0.72817460317460314</v>
      </c>
      <c r="E73" s="42">
        <v>0.87301587301587302</v>
      </c>
      <c r="F73" s="42">
        <v>0.74603174603174605</v>
      </c>
      <c r="G73" s="42">
        <v>0.70833333333333337</v>
      </c>
      <c r="H73" s="42">
        <v>0.7684630738522954</v>
      </c>
      <c r="I73" s="42">
        <v>0.75595238095238093</v>
      </c>
      <c r="J73" s="42">
        <v>0.76984126984126988</v>
      </c>
      <c r="K73" s="42">
        <v>0.84325396825396826</v>
      </c>
      <c r="L73" s="42">
        <v>0.78915662650602414</v>
      </c>
      <c r="M73" s="42">
        <v>0.81075697211155373</v>
      </c>
      <c r="N73" s="42">
        <v>0.88492063492063489</v>
      </c>
      <c r="O73" s="42">
        <v>0.8127490039840638</v>
      </c>
      <c r="P73" s="42">
        <v>0.70634920634920639</v>
      </c>
      <c r="Q73" s="42">
        <v>0.83199999999999996</v>
      </c>
      <c r="R73" s="42">
        <v>0.77116704805491987</v>
      </c>
      <c r="S73" s="42">
        <v>0.53827751196172247</v>
      </c>
      <c r="T73" s="42">
        <v>0.73015873015873012</v>
      </c>
      <c r="U73" s="42">
        <v>0.66468253968253965</v>
      </c>
      <c r="V73" s="43">
        <v>0.76190476190476186</v>
      </c>
    </row>
    <row r="74" spans="1:22" x14ac:dyDescent="0.25">
      <c r="A74" s="41" t="s">
        <v>22</v>
      </c>
      <c r="B74" s="42">
        <v>0.74386652809271858</v>
      </c>
      <c r="C74" s="42">
        <v>0.88316818769292793</v>
      </c>
      <c r="D74" s="42">
        <v>0.75693657092466615</v>
      </c>
      <c r="E74" s="42">
        <v>0.88224954333585281</v>
      </c>
      <c r="F74" s="42">
        <v>0.75156289367598894</v>
      </c>
      <c r="G74" s="42">
        <v>0.73545367220962454</v>
      </c>
      <c r="H74" s="42">
        <v>0.7973314847351205</v>
      </c>
      <c r="I74" s="42">
        <v>0.7980914588057445</v>
      </c>
      <c r="J74" s="42">
        <v>0.77052429768203567</v>
      </c>
      <c r="K74" s="42">
        <v>0.87004558767951623</v>
      </c>
      <c r="L74" s="42">
        <v>0.80049112111094978</v>
      </c>
      <c r="M74" s="42">
        <v>0.80847129410644269</v>
      </c>
      <c r="N74" s="42">
        <v>0.88171217561098514</v>
      </c>
      <c r="O74" s="42">
        <v>0.82672894081046333</v>
      </c>
      <c r="P74" s="42">
        <v>0.73589852607709749</v>
      </c>
      <c r="Q74" s="42">
        <v>0.87805999999999995</v>
      </c>
      <c r="R74" s="42">
        <v>0.84708512899999477</v>
      </c>
      <c r="S74" s="42">
        <v>0.87899201025617546</v>
      </c>
      <c r="T74" s="42">
        <v>0.76727450239355</v>
      </c>
      <c r="U74" s="42">
        <v>0.71082530234315944</v>
      </c>
      <c r="V74" s="43">
        <v>0.80122315129755606</v>
      </c>
    </row>
    <row r="75" spans="1:22" x14ac:dyDescent="0.25">
      <c r="A75" s="41" t="s">
        <v>23</v>
      </c>
      <c r="B75" s="42">
        <v>0.116717057193248</v>
      </c>
      <c r="C75" s="42">
        <v>2.6137410131655402E-2</v>
      </c>
      <c r="D75" s="42">
        <v>9.7300957420004996E-2</v>
      </c>
      <c r="E75" s="42">
        <v>2.59511211892164E-2</v>
      </c>
      <c r="F75" s="42">
        <v>0.112055933484505</v>
      </c>
      <c r="G75" s="42">
        <v>0.11144179894179899</v>
      </c>
      <c r="H75" s="42">
        <v>7.1302504770897293E-2</v>
      </c>
      <c r="I75" s="42">
        <v>6.7846119929453302E-2</v>
      </c>
      <c r="J75" s="42">
        <v>8.7553539934492303E-2</v>
      </c>
      <c r="K75" s="42">
        <v>3.1934996220710499E-2</v>
      </c>
      <c r="L75" s="42">
        <v>7.2821406106353098E-2</v>
      </c>
      <c r="M75" s="42">
        <v>6.6133870890938196E-2</v>
      </c>
      <c r="N75" s="42">
        <v>2.7762030738221199E-2</v>
      </c>
      <c r="O75" s="42">
        <v>5.0181743146934202E-2</v>
      </c>
      <c r="P75" s="42">
        <v>0.114055807508188</v>
      </c>
      <c r="Q75" s="42">
        <v>2.7255999999999999E-2</v>
      </c>
      <c r="R75" s="42">
        <v>4.1645502673208698E-2</v>
      </c>
      <c r="S75" s="42">
        <v>3.8769716810512597E-2</v>
      </c>
      <c r="T75" s="42">
        <v>8.8734567901234601E-2</v>
      </c>
      <c r="U75" s="42">
        <v>0.12477954144620799</v>
      </c>
      <c r="V75" s="43">
        <v>6.5877739984882805E-2</v>
      </c>
    </row>
    <row r="76" spans="1:22" x14ac:dyDescent="0.25">
      <c r="A76" s="41" t="s">
        <v>24</v>
      </c>
      <c r="B76" s="42">
        <v>0.509765625</v>
      </c>
      <c r="C76" s="42">
        <v>0.69271042286956097</v>
      </c>
      <c r="D76" s="42">
        <v>0.47318024011819498</v>
      </c>
      <c r="E76" s="42">
        <v>0.74069841561648397</v>
      </c>
      <c r="F76" s="42">
        <v>0.50300087246988801</v>
      </c>
      <c r="G76" s="42">
        <v>0.44126936045203202</v>
      </c>
      <c r="H76" s="42">
        <v>0.541879145148213</v>
      </c>
      <c r="I76" s="42">
        <v>0.52000486944069102</v>
      </c>
      <c r="J76" s="42">
        <v>0.54431760397954199</v>
      </c>
      <c r="K76" s="42">
        <v>0.68161280854152695</v>
      </c>
      <c r="L76" s="42">
        <v>0.57907239764484497</v>
      </c>
      <c r="M76" s="42">
        <v>0.61915513739502004</v>
      </c>
      <c r="N76" s="42">
        <v>0.76473022796337897</v>
      </c>
      <c r="O76" s="42">
        <v>0.62291244965064496</v>
      </c>
      <c r="P76" s="42">
        <v>0.43815059487133401</v>
      </c>
      <c r="Q76" s="42">
        <v>0.65971388258713604</v>
      </c>
      <c r="R76" s="42">
        <v>0.54666862410260397</v>
      </c>
      <c r="S76" s="42">
        <v>0.22324434677312199</v>
      </c>
      <c r="T76" s="42">
        <v>0.47644279862032402</v>
      </c>
      <c r="U76" s="42">
        <v>0.37576621181368203</v>
      </c>
      <c r="V76" s="43">
        <v>0.53035319155917005</v>
      </c>
    </row>
    <row r="77" spans="1:22" x14ac:dyDescent="0.25">
      <c r="A77" s="41" t="s">
        <v>25</v>
      </c>
      <c r="B77" s="42">
        <v>0.88328294280675201</v>
      </c>
      <c r="C77" s="42">
        <v>0.97386258986834495</v>
      </c>
      <c r="D77" s="42">
        <v>0.902699042579995</v>
      </c>
      <c r="E77" s="42">
        <v>0.97404887881078395</v>
      </c>
      <c r="F77" s="42">
        <v>0.88794406651549496</v>
      </c>
      <c r="G77" s="42">
        <v>0.88855820105820105</v>
      </c>
      <c r="H77" s="42">
        <v>0.92869749522910305</v>
      </c>
      <c r="I77" s="42">
        <v>0.932153880070547</v>
      </c>
      <c r="J77" s="42">
        <v>0.912446460065508</v>
      </c>
      <c r="K77" s="42">
        <v>0.96806500377928995</v>
      </c>
      <c r="L77" s="42">
        <v>0.92717859389364699</v>
      </c>
      <c r="M77" s="42">
        <v>0.93386612910906197</v>
      </c>
      <c r="N77" s="42">
        <v>0.97223796926177897</v>
      </c>
      <c r="O77" s="42">
        <v>0.94981825685306598</v>
      </c>
      <c r="P77" s="42">
        <v>0.885944192491812</v>
      </c>
      <c r="Q77" s="42">
        <v>0.97274400000000005</v>
      </c>
      <c r="R77" s="42">
        <v>0.95835449732679101</v>
      </c>
      <c r="S77" s="42">
        <v>0.961230283189487</v>
      </c>
      <c r="T77" s="42">
        <v>0.91126543209876498</v>
      </c>
      <c r="U77" s="42">
        <v>0.87522045855379205</v>
      </c>
      <c r="V77" s="43">
        <v>0.934122260015117</v>
      </c>
    </row>
    <row r="78" spans="1:22" ht="16.5" thickBot="1" x14ac:dyDescent="0.3">
      <c r="A78" s="51" t="s">
        <v>26</v>
      </c>
      <c r="B78" s="63">
        <v>0.70057864946120396</v>
      </c>
      <c r="C78" s="63">
        <v>0.871775191536174</v>
      </c>
      <c r="D78" s="63">
        <v>0.71826261068765995</v>
      </c>
      <c r="E78" s="63">
        <v>0.87085059884013105</v>
      </c>
      <c r="F78" s="63">
        <v>0.71239701248076304</v>
      </c>
      <c r="G78" s="63">
        <v>0.69547942230551796</v>
      </c>
      <c r="H78" s="63">
        <v>0.76790185618879503</v>
      </c>
      <c r="I78" s="63">
        <v>0.770358844121662</v>
      </c>
      <c r="J78" s="63">
        <v>0.73623046411258797</v>
      </c>
      <c r="K78" s="63">
        <v>0.85683817010319696</v>
      </c>
      <c r="L78" s="63">
        <v>0.77416616752059997</v>
      </c>
      <c r="M78" s="63">
        <v>0.78048277594302695</v>
      </c>
      <c r="N78" s="63">
        <v>0.86988058762778697</v>
      </c>
      <c r="O78" s="63">
        <v>0.80690313363917399</v>
      </c>
      <c r="P78" s="63">
        <v>0.69539721075313599</v>
      </c>
      <c r="Q78" s="63">
        <v>0.86575227945599997</v>
      </c>
      <c r="R78" s="63">
        <v>0.82825706715096004</v>
      </c>
      <c r="S78" s="63">
        <v>0.86706513308743405</v>
      </c>
      <c r="T78" s="63">
        <v>0.73161856744434695</v>
      </c>
      <c r="U78" s="63">
        <v>0.66997540742799799</v>
      </c>
      <c r="V78" s="64">
        <v>0.77333381946520097</v>
      </c>
    </row>
    <row r="79" spans="1:22" x14ac:dyDescent="0.25">
      <c r="A79" s="68" t="s">
        <v>76</v>
      </c>
      <c r="B79" s="54">
        <f>PRODUCT(B75:V75)</f>
        <v>3.1960872686330514E-26</v>
      </c>
      <c r="C79" s="54"/>
      <c r="J79" s="55"/>
    </row>
    <row r="80" spans="1:22" x14ac:dyDescent="0.25">
      <c r="A80" s="68" t="s">
        <v>78</v>
      </c>
      <c r="B80" s="56">
        <f>1-(PRODUCT(1-B76,1-C76,1-D76,1-E76,1-F76,1-G76,1-H76,1-I76,1-J76,1-K76,1-L76,1-M76,1-N76,1-O76,1-P76,1-Q76,1-R76,1-S76,1-T76,1-U76,1-V76))</f>
        <v>0.99999997320692002</v>
      </c>
      <c r="C80" s="56"/>
      <c r="J80" s="57"/>
    </row>
  </sheetData>
  <mergeCells count="2">
    <mergeCell ref="B79:C79"/>
    <mergeCell ref="B80:C8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workbookViewId="0"/>
  </sheetViews>
  <sheetFormatPr defaultColWidth="11.42578125" defaultRowHeight="15.75" x14ac:dyDescent="0.25"/>
  <cols>
    <col min="1" max="1" width="11.42578125" style="58"/>
    <col min="2" max="22" width="11.42578125" style="47"/>
    <col min="23" max="16384" width="11.42578125" style="59"/>
  </cols>
  <sheetData>
    <row r="1" spans="1:22" x14ac:dyDescent="0.25">
      <c r="A1" s="1" t="s">
        <v>147</v>
      </c>
    </row>
    <row r="2" spans="1:22" ht="16.5" thickBot="1" x14ac:dyDescent="0.3"/>
    <row r="3" spans="1:22" x14ac:dyDescent="0.25">
      <c r="A3" s="69" t="s">
        <v>143</v>
      </c>
      <c r="B3" s="70" t="s">
        <v>0</v>
      </c>
      <c r="C3" s="70" t="s">
        <v>7</v>
      </c>
      <c r="D3" s="70" t="s">
        <v>10</v>
      </c>
      <c r="E3" s="70" t="s">
        <v>9</v>
      </c>
      <c r="F3" s="70" t="s">
        <v>11</v>
      </c>
      <c r="G3" s="70" t="s">
        <v>12</v>
      </c>
      <c r="H3" s="70" t="s">
        <v>13</v>
      </c>
      <c r="I3" s="70" t="s">
        <v>14</v>
      </c>
      <c r="J3" s="70" t="s">
        <v>1</v>
      </c>
      <c r="K3" s="70" t="s">
        <v>2</v>
      </c>
      <c r="L3" s="70" t="s">
        <v>3</v>
      </c>
      <c r="M3" s="70" t="s">
        <v>4</v>
      </c>
      <c r="N3" s="70" t="s">
        <v>5</v>
      </c>
      <c r="O3" s="70" t="s">
        <v>6</v>
      </c>
      <c r="P3" s="70" t="s">
        <v>8</v>
      </c>
      <c r="Q3" s="70" t="s">
        <v>15</v>
      </c>
      <c r="R3" s="70" t="s">
        <v>141</v>
      </c>
      <c r="S3" s="70" t="s">
        <v>142</v>
      </c>
      <c r="T3" s="70" t="s">
        <v>16</v>
      </c>
      <c r="U3" s="70" t="s">
        <v>17</v>
      </c>
      <c r="V3" s="71" t="s">
        <v>18</v>
      </c>
    </row>
    <row r="4" spans="1:22" x14ac:dyDescent="0.25">
      <c r="A4" s="41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>
        <v>0</v>
      </c>
      <c r="M4" s="42"/>
      <c r="N4" s="42"/>
      <c r="O4" s="42"/>
      <c r="P4" s="42"/>
      <c r="Q4" s="42"/>
      <c r="R4" s="42">
        <v>0</v>
      </c>
      <c r="S4" s="42">
        <v>0.10874</v>
      </c>
      <c r="T4" s="42">
        <v>2.98E-3</v>
      </c>
      <c r="U4" s="42"/>
      <c r="V4" s="43"/>
    </row>
    <row r="5" spans="1:22" x14ac:dyDescent="0.25">
      <c r="A5" s="41">
        <v>6</v>
      </c>
      <c r="B5" s="42"/>
      <c r="C5" s="42"/>
      <c r="D5" s="42"/>
      <c r="E5" s="42"/>
      <c r="F5" s="42"/>
      <c r="G5" s="42"/>
      <c r="H5" s="42">
        <v>0</v>
      </c>
      <c r="I5" s="42"/>
      <c r="J5" s="42">
        <v>0</v>
      </c>
      <c r="K5" s="42"/>
      <c r="L5" s="42"/>
      <c r="M5" s="42"/>
      <c r="N5" s="42"/>
      <c r="O5" s="42">
        <v>0</v>
      </c>
      <c r="P5" s="42"/>
      <c r="Q5" s="42"/>
      <c r="R5" s="42">
        <v>3.0200000000000001E-3</v>
      </c>
      <c r="S5" s="42">
        <v>3.3600000000000001E-3</v>
      </c>
      <c r="T5" s="42">
        <v>0.20477000000000001</v>
      </c>
      <c r="U5" s="42">
        <v>0</v>
      </c>
      <c r="V5" s="43"/>
    </row>
    <row r="6" spans="1:22" x14ac:dyDescent="0.25">
      <c r="A6" s="41">
        <v>7</v>
      </c>
      <c r="B6" s="42">
        <v>1.99E-3</v>
      </c>
      <c r="C6" s="42">
        <v>0</v>
      </c>
      <c r="D6" s="42"/>
      <c r="E6" s="42"/>
      <c r="F6" s="42"/>
      <c r="G6" s="42">
        <v>9.8999999999999999E-4</v>
      </c>
      <c r="H6" s="42">
        <v>2.3859999999999999E-2</v>
      </c>
      <c r="I6" s="42"/>
      <c r="J6" s="42">
        <v>0</v>
      </c>
      <c r="K6" s="42"/>
      <c r="L6" s="42">
        <v>0</v>
      </c>
      <c r="M6" s="42">
        <v>0</v>
      </c>
      <c r="N6" s="42"/>
      <c r="O6" s="42">
        <v>9.8999999999999999E-4</v>
      </c>
      <c r="P6" s="42"/>
      <c r="Q6" s="42"/>
      <c r="R6" s="42">
        <v>6.0400000000000002E-3</v>
      </c>
      <c r="S6" s="42">
        <v>0.19731000000000001</v>
      </c>
      <c r="T6" s="42">
        <v>0.18986</v>
      </c>
      <c r="U6" s="42">
        <v>0</v>
      </c>
      <c r="V6" s="43"/>
    </row>
    <row r="7" spans="1:22" x14ac:dyDescent="0.25">
      <c r="A7" s="41" t="s">
        <v>27</v>
      </c>
      <c r="B7" s="42">
        <v>9.8999999999999999E-4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</row>
    <row r="8" spans="1:22" x14ac:dyDescent="0.25">
      <c r="A8" s="41">
        <v>8</v>
      </c>
      <c r="B8" s="42">
        <v>9.8999999999999999E-4</v>
      </c>
      <c r="C8" s="42">
        <v>0</v>
      </c>
      <c r="D8" s="42">
        <v>9.8999999999999999E-4</v>
      </c>
      <c r="E8" s="42">
        <v>0</v>
      </c>
      <c r="F8" s="42"/>
      <c r="G8" s="42">
        <v>4.9699999999999996E-3</v>
      </c>
      <c r="H8" s="42">
        <v>0.17893000000000001</v>
      </c>
      <c r="I8" s="42">
        <v>1.8890000000000001E-2</v>
      </c>
      <c r="J8" s="42">
        <v>0</v>
      </c>
      <c r="K8" s="42"/>
      <c r="L8" s="42">
        <v>0.12648999999999999</v>
      </c>
      <c r="M8" s="42">
        <v>1.5900000000000001E-2</v>
      </c>
      <c r="N8" s="42"/>
      <c r="O8" s="42">
        <v>0</v>
      </c>
      <c r="P8" s="42">
        <v>0</v>
      </c>
      <c r="Q8" s="42"/>
      <c r="R8" s="42">
        <v>1.61E-2</v>
      </c>
      <c r="S8" s="42">
        <v>2.3539999999999998E-2</v>
      </c>
      <c r="T8" s="42">
        <v>9.7420000000000007E-2</v>
      </c>
      <c r="U8" s="42">
        <v>0.51590000000000003</v>
      </c>
      <c r="V8" s="43"/>
    </row>
    <row r="9" spans="1:22" x14ac:dyDescent="0.25">
      <c r="A9" s="41" t="s">
        <v>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>
        <v>0</v>
      </c>
      <c r="U9" s="42"/>
      <c r="V9" s="43"/>
    </row>
    <row r="10" spans="1:22" x14ac:dyDescent="0.25">
      <c r="A10" s="41">
        <v>9</v>
      </c>
      <c r="B10" s="42">
        <v>1.9879999999999998E-2</v>
      </c>
      <c r="C10" s="42">
        <v>1E-3</v>
      </c>
      <c r="D10" s="42">
        <v>9.8999999999999999E-4</v>
      </c>
      <c r="E10" s="42"/>
      <c r="F10" s="42">
        <v>0</v>
      </c>
      <c r="G10" s="42">
        <v>5.0700000000000002E-2</v>
      </c>
      <c r="H10" s="42">
        <v>0.12623999999999999</v>
      </c>
      <c r="I10" s="42">
        <v>1.6899999999999998E-2</v>
      </c>
      <c r="J10" s="42">
        <v>0</v>
      </c>
      <c r="K10" s="42"/>
      <c r="L10" s="42">
        <v>9.1630000000000003E-2</v>
      </c>
      <c r="M10" s="42">
        <v>0.1004</v>
      </c>
      <c r="N10" s="42">
        <v>1.99E-3</v>
      </c>
      <c r="O10" s="42">
        <v>0</v>
      </c>
      <c r="P10" s="42">
        <v>0</v>
      </c>
      <c r="Q10" s="42"/>
      <c r="R10" s="42">
        <v>0.20624000000000001</v>
      </c>
      <c r="S10" s="42">
        <v>1.009E-2</v>
      </c>
      <c r="T10" s="42">
        <v>0.17693999999999999</v>
      </c>
      <c r="U10" s="42">
        <v>0.11829000000000001</v>
      </c>
      <c r="V10" s="43"/>
    </row>
    <row r="11" spans="1:22" x14ac:dyDescent="0.25">
      <c r="A11" s="41" t="s">
        <v>29</v>
      </c>
      <c r="B11" s="42"/>
      <c r="C11" s="42"/>
      <c r="D11" s="42">
        <v>0</v>
      </c>
      <c r="E11" s="42"/>
      <c r="F11" s="42"/>
      <c r="G11" s="42"/>
      <c r="H11" s="42">
        <v>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>
        <v>0</v>
      </c>
      <c r="V11" s="43"/>
    </row>
    <row r="12" spans="1:22" x14ac:dyDescent="0.25">
      <c r="A12" s="41" t="s">
        <v>30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>
        <v>0.31312000000000001</v>
      </c>
      <c r="U12" s="42"/>
      <c r="V12" s="43"/>
    </row>
    <row r="13" spans="1:22" x14ac:dyDescent="0.25">
      <c r="A13" s="41">
        <v>10</v>
      </c>
      <c r="B13" s="42">
        <v>0.27733999999999998</v>
      </c>
      <c r="C13" s="42">
        <v>1E-3</v>
      </c>
      <c r="D13" s="42">
        <v>0.18290000000000001</v>
      </c>
      <c r="E13" s="42"/>
      <c r="F13" s="42"/>
      <c r="G13" s="42">
        <v>6.2619999999999995E-2</v>
      </c>
      <c r="H13" s="42">
        <v>0.26839000000000002</v>
      </c>
      <c r="I13" s="42">
        <v>0.10537000000000001</v>
      </c>
      <c r="J13" s="42">
        <v>0</v>
      </c>
      <c r="K13" s="42"/>
      <c r="L13" s="42">
        <v>7.1709999999999996E-2</v>
      </c>
      <c r="M13" s="42">
        <v>5.0700000000000002E-2</v>
      </c>
      <c r="N13" s="42">
        <v>8.9499999999999996E-3</v>
      </c>
      <c r="O13" s="42">
        <v>0</v>
      </c>
      <c r="P13" s="42">
        <v>1.99E-3</v>
      </c>
      <c r="Q13" s="42"/>
      <c r="R13" s="42">
        <v>0.11971999999999999</v>
      </c>
      <c r="S13" s="42">
        <v>0.14685999999999999</v>
      </c>
      <c r="T13" s="42">
        <v>1.491E-2</v>
      </c>
      <c r="U13" s="42">
        <v>4.7710000000000002E-2</v>
      </c>
      <c r="V13" s="43">
        <v>0</v>
      </c>
    </row>
    <row r="14" spans="1:22" x14ac:dyDescent="0.25">
      <c r="A14" s="41" t="s">
        <v>31</v>
      </c>
      <c r="B14" s="42"/>
      <c r="C14" s="42"/>
      <c r="D14" s="42">
        <v>0</v>
      </c>
      <c r="E14" s="42"/>
      <c r="F14" s="42"/>
      <c r="G14" s="42"/>
      <c r="H14" s="42">
        <v>0</v>
      </c>
      <c r="I14" s="42"/>
      <c r="J14" s="42"/>
      <c r="K14" s="42"/>
      <c r="L14" s="42"/>
      <c r="M14" s="42"/>
      <c r="N14" s="42">
        <v>0</v>
      </c>
      <c r="O14" s="42"/>
      <c r="P14" s="42"/>
      <c r="Q14" s="42"/>
      <c r="R14" s="42"/>
      <c r="S14" s="42"/>
      <c r="T14" s="42"/>
      <c r="U14" s="42"/>
      <c r="V14" s="43"/>
    </row>
    <row r="15" spans="1:22" x14ac:dyDescent="0.25">
      <c r="A15" s="41" t="s">
        <v>32</v>
      </c>
      <c r="B15" s="42">
        <v>0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>
        <v>0</v>
      </c>
      <c r="U15" s="42"/>
      <c r="V15" s="43"/>
    </row>
    <row r="16" spans="1:22" x14ac:dyDescent="0.25">
      <c r="A16" s="41">
        <v>11</v>
      </c>
      <c r="B16" s="42">
        <v>0.28627999999999998</v>
      </c>
      <c r="C16" s="42">
        <v>9.4619999999999996E-2</v>
      </c>
      <c r="D16" s="42">
        <v>0.32406000000000001</v>
      </c>
      <c r="E16" s="42"/>
      <c r="F16" s="42">
        <v>0</v>
      </c>
      <c r="G16" s="42">
        <v>0.33796999999999999</v>
      </c>
      <c r="H16" s="42">
        <v>0.22167000000000001</v>
      </c>
      <c r="I16" s="42">
        <v>9.3439999999999995E-2</v>
      </c>
      <c r="J16" s="42">
        <v>3.98E-3</v>
      </c>
      <c r="K16" s="42"/>
      <c r="L16" s="42">
        <v>0.32668999999999998</v>
      </c>
      <c r="M16" s="42">
        <v>0.29721999999999998</v>
      </c>
      <c r="N16" s="42">
        <v>1.392E-2</v>
      </c>
      <c r="O16" s="42">
        <v>2.98E-3</v>
      </c>
      <c r="P16" s="42">
        <v>0.11033999999999999</v>
      </c>
      <c r="Q16" s="42"/>
      <c r="R16" s="42">
        <v>0.14990000000000001</v>
      </c>
      <c r="S16" s="42">
        <v>0.11547</v>
      </c>
      <c r="T16" s="42">
        <v>0</v>
      </c>
      <c r="U16" s="42">
        <v>0.28131</v>
      </c>
      <c r="V16" s="43">
        <v>0</v>
      </c>
    </row>
    <row r="17" spans="1:22" x14ac:dyDescent="0.25">
      <c r="A17" s="41" t="s">
        <v>33</v>
      </c>
      <c r="B17" s="42"/>
      <c r="C17" s="42"/>
      <c r="D17" s="42"/>
      <c r="E17" s="42"/>
      <c r="F17" s="42"/>
      <c r="G17" s="42"/>
      <c r="H17" s="42">
        <v>1.99E-3</v>
      </c>
      <c r="I17" s="42"/>
      <c r="J17" s="42"/>
      <c r="K17" s="42"/>
      <c r="L17" s="42">
        <v>0</v>
      </c>
      <c r="M17" s="42"/>
      <c r="N17" s="42"/>
      <c r="O17" s="42">
        <v>0</v>
      </c>
      <c r="P17" s="42"/>
      <c r="Q17" s="42"/>
      <c r="R17" s="42"/>
      <c r="S17" s="42"/>
      <c r="T17" s="42"/>
      <c r="U17" s="42"/>
      <c r="V17" s="43"/>
    </row>
    <row r="18" spans="1:22" x14ac:dyDescent="0.25">
      <c r="A18" s="41" t="s">
        <v>34</v>
      </c>
      <c r="B18" s="42"/>
      <c r="C18" s="42"/>
      <c r="D18" s="42">
        <v>6.6600000000000006E-2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3"/>
    </row>
    <row r="19" spans="1:22" x14ac:dyDescent="0.25">
      <c r="A19" s="41" t="s">
        <v>35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>
        <v>0</v>
      </c>
      <c r="S19" s="42"/>
      <c r="T19" s="42"/>
      <c r="U19" s="42"/>
      <c r="V19" s="43"/>
    </row>
    <row r="20" spans="1:22" x14ac:dyDescent="0.25">
      <c r="A20" s="41">
        <v>12</v>
      </c>
      <c r="B20" s="42">
        <v>0.33201000000000003</v>
      </c>
      <c r="C20" s="42">
        <v>0.11554</v>
      </c>
      <c r="D20" s="42">
        <v>2.6839999999999999E-2</v>
      </c>
      <c r="E20" s="42"/>
      <c r="F20" s="42">
        <v>0</v>
      </c>
      <c r="G20" s="42">
        <v>0.35586000000000001</v>
      </c>
      <c r="H20" s="42">
        <v>0.14115</v>
      </c>
      <c r="I20" s="42">
        <v>0.13519</v>
      </c>
      <c r="J20" s="42">
        <v>3.1870000000000002E-2</v>
      </c>
      <c r="K20" s="42"/>
      <c r="L20" s="42">
        <v>0.27190999999999999</v>
      </c>
      <c r="M20" s="42">
        <v>0.29920000000000002</v>
      </c>
      <c r="N20" s="42">
        <v>0.13916999999999999</v>
      </c>
      <c r="O20" s="42">
        <v>8.5489999999999997E-2</v>
      </c>
      <c r="P20" s="42">
        <v>4.9699999999999996E-3</v>
      </c>
      <c r="Q20" s="42"/>
      <c r="R20" s="42">
        <v>0.21226999999999999</v>
      </c>
      <c r="S20" s="42">
        <v>0.21861</v>
      </c>
      <c r="T20" s="42"/>
      <c r="U20" s="42">
        <v>3.5790000000000002E-2</v>
      </c>
      <c r="V20" s="43">
        <v>0</v>
      </c>
    </row>
    <row r="21" spans="1:22" x14ac:dyDescent="0.25">
      <c r="A21" s="41" t="s">
        <v>36</v>
      </c>
      <c r="B21" s="42"/>
      <c r="C21" s="42"/>
      <c r="D21" s="42"/>
      <c r="E21" s="42"/>
      <c r="F21" s="42"/>
      <c r="G21" s="42"/>
      <c r="H21" s="42">
        <v>9.8999999999999999E-4</v>
      </c>
      <c r="I21" s="42"/>
      <c r="J21" s="42"/>
      <c r="K21" s="42"/>
      <c r="L21" s="42"/>
      <c r="M21" s="42"/>
      <c r="N21" s="42">
        <v>0</v>
      </c>
      <c r="O21" s="42">
        <v>9.8999999999999999E-4</v>
      </c>
      <c r="P21" s="42"/>
      <c r="Q21" s="42"/>
      <c r="R21" s="42"/>
      <c r="S21" s="42"/>
      <c r="T21" s="42"/>
      <c r="U21" s="42"/>
      <c r="V21" s="43"/>
    </row>
    <row r="22" spans="1:22" x14ac:dyDescent="0.25">
      <c r="A22" s="41" t="s">
        <v>37</v>
      </c>
      <c r="B22" s="42"/>
      <c r="C22" s="42"/>
      <c r="D22" s="42">
        <v>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>
        <v>0</v>
      </c>
      <c r="P22" s="42"/>
      <c r="Q22" s="42"/>
      <c r="R22" s="42"/>
      <c r="S22" s="42"/>
      <c r="T22" s="42"/>
      <c r="U22" s="42"/>
      <c r="V22" s="43"/>
    </row>
    <row r="23" spans="1:22" x14ac:dyDescent="0.25">
      <c r="A23" s="41">
        <v>13</v>
      </c>
      <c r="B23" s="42">
        <v>6.9580000000000003E-2</v>
      </c>
      <c r="C23" s="42">
        <v>6.9720000000000004E-2</v>
      </c>
      <c r="D23" s="42">
        <v>2.8830000000000001E-2</v>
      </c>
      <c r="E23" s="42">
        <v>9.8999999999999999E-4</v>
      </c>
      <c r="F23" s="42">
        <v>1.99E-3</v>
      </c>
      <c r="G23" s="42">
        <v>0.17494999999999999</v>
      </c>
      <c r="H23" s="42">
        <v>2.9819999999999999E-2</v>
      </c>
      <c r="I23" s="42">
        <v>0.32007999999999998</v>
      </c>
      <c r="J23" s="42">
        <v>0.29282999999999998</v>
      </c>
      <c r="K23" s="42"/>
      <c r="L23" s="42">
        <v>8.2669999999999993E-2</v>
      </c>
      <c r="M23" s="42">
        <v>0.20179</v>
      </c>
      <c r="N23" s="42">
        <v>0.12922</v>
      </c>
      <c r="O23" s="42">
        <v>0.25446999999999997</v>
      </c>
      <c r="P23" s="42">
        <v>1.99E-3</v>
      </c>
      <c r="Q23" s="42"/>
      <c r="R23" s="42">
        <v>0.20624000000000001</v>
      </c>
      <c r="S23" s="42">
        <v>8.5199999999999998E-2</v>
      </c>
      <c r="T23" s="42"/>
      <c r="U23" s="42">
        <v>9.8999999999999999E-4</v>
      </c>
      <c r="V23" s="43">
        <v>2.99E-3</v>
      </c>
    </row>
    <row r="24" spans="1:22" x14ac:dyDescent="0.25">
      <c r="A24" s="41" t="s">
        <v>38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>
        <v>0</v>
      </c>
      <c r="O24" s="42">
        <v>1.392E-2</v>
      </c>
      <c r="P24" s="42"/>
      <c r="Q24" s="42"/>
      <c r="R24" s="42"/>
      <c r="S24" s="42"/>
      <c r="T24" s="42"/>
      <c r="U24" s="42"/>
      <c r="V24" s="43"/>
    </row>
    <row r="25" spans="1:22" x14ac:dyDescent="0.25">
      <c r="A25" s="41" t="s">
        <v>39</v>
      </c>
      <c r="B25" s="42"/>
      <c r="C25" s="42"/>
      <c r="D25" s="42">
        <v>0</v>
      </c>
      <c r="E25" s="42"/>
      <c r="F25" s="42"/>
      <c r="G25" s="42"/>
      <c r="H25" s="42"/>
      <c r="I25" s="42"/>
      <c r="J25" s="42">
        <v>0</v>
      </c>
      <c r="K25" s="42"/>
      <c r="L25" s="42"/>
      <c r="M25" s="42"/>
      <c r="N25" s="42">
        <v>0</v>
      </c>
      <c r="O25" s="42"/>
      <c r="P25" s="42"/>
      <c r="Q25" s="42"/>
      <c r="R25" s="42"/>
      <c r="S25" s="42"/>
      <c r="T25" s="42"/>
      <c r="U25" s="42"/>
      <c r="V25" s="43"/>
    </row>
    <row r="26" spans="1:22" x14ac:dyDescent="0.25">
      <c r="A26" s="41">
        <v>14</v>
      </c>
      <c r="B26" s="42">
        <v>7.9500000000000005E-3</v>
      </c>
      <c r="C26" s="42">
        <v>8.4659999999999999E-2</v>
      </c>
      <c r="D26" s="42">
        <v>0.32604</v>
      </c>
      <c r="E26" s="42">
        <v>0</v>
      </c>
      <c r="F26" s="42">
        <v>0.12922</v>
      </c>
      <c r="G26" s="42">
        <v>9.9399999999999992E-3</v>
      </c>
      <c r="H26" s="42">
        <v>6.96E-3</v>
      </c>
      <c r="I26" s="42">
        <v>0.19284000000000001</v>
      </c>
      <c r="J26" s="42">
        <v>0.28784999999999999</v>
      </c>
      <c r="K26" s="42">
        <v>0</v>
      </c>
      <c r="L26" s="42">
        <v>2.7890000000000002E-2</v>
      </c>
      <c r="M26" s="42">
        <v>3.2800000000000003E-2</v>
      </c>
      <c r="N26" s="42">
        <v>0.17793</v>
      </c>
      <c r="O26" s="42">
        <v>0.35288000000000003</v>
      </c>
      <c r="P26" s="42">
        <v>3.7769999999999998E-2</v>
      </c>
      <c r="Q26" s="42"/>
      <c r="R26" s="42">
        <v>5.7340000000000002E-2</v>
      </c>
      <c r="S26" s="42">
        <v>5.0450000000000002E-2</v>
      </c>
      <c r="T26" s="42"/>
      <c r="U26" s="42">
        <v>0</v>
      </c>
      <c r="V26" s="43">
        <v>0.12848999999999999</v>
      </c>
    </row>
    <row r="27" spans="1:22" x14ac:dyDescent="0.25">
      <c r="A27" s="41" t="s">
        <v>40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>
        <v>0</v>
      </c>
      <c r="O27" s="42">
        <v>2.1870000000000001E-2</v>
      </c>
      <c r="P27" s="42"/>
      <c r="Q27" s="42"/>
      <c r="R27" s="42">
        <v>1.01E-3</v>
      </c>
      <c r="S27" s="42"/>
      <c r="T27" s="42"/>
      <c r="U27" s="42"/>
      <c r="V27" s="43"/>
    </row>
    <row r="28" spans="1:22" x14ac:dyDescent="0.25">
      <c r="A28" s="41" t="s">
        <v>41</v>
      </c>
      <c r="B28" s="42"/>
      <c r="C28" s="42">
        <v>5.9800000000000001E-3</v>
      </c>
      <c r="D28" s="42">
        <v>0</v>
      </c>
      <c r="E28" s="42"/>
      <c r="F28" s="42"/>
      <c r="G28" s="42"/>
      <c r="H28" s="42"/>
      <c r="I28" s="42"/>
      <c r="J28" s="42"/>
      <c r="K28" s="42"/>
      <c r="L28" s="42"/>
      <c r="M28" s="42"/>
      <c r="N28" s="42">
        <v>0</v>
      </c>
      <c r="O28" s="42"/>
      <c r="P28" s="42"/>
      <c r="Q28" s="42"/>
      <c r="R28" s="42"/>
      <c r="S28" s="42"/>
      <c r="T28" s="42"/>
      <c r="U28" s="42"/>
      <c r="V28" s="43"/>
    </row>
    <row r="29" spans="1:22" x14ac:dyDescent="0.25">
      <c r="A29" s="41" t="s">
        <v>42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3">
        <v>0</v>
      </c>
    </row>
    <row r="30" spans="1:22" x14ac:dyDescent="0.25">
      <c r="A30" s="41">
        <v>15</v>
      </c>
      <c r="B30" s="42">
        <v>2.98E-3</v>
      </c>
      <c r="C30" s="42">
        <v>0.14044000000000001</v>
      </c>
      <c r="D30" s="42">
        <v>3.4790000000000001E-2</v>
      </c>
      <c r="E30" s="42">
        <v>9.8999999999999999E-4</v>
      </c>
      <c r="F30" s="42">
        <v>0.26740000000000003</v>
      </c>
      <c r="G30" s="42">
        <v>1.99E-3</v>
      </c>
      <c r="H30" s="42"/>
      <c r="I30" s="42">
        <v>8.6480000000000001E-2</v>
      </c>
      <c r="J30" s="42">
        <v>0.20418</v>
      </c>
      <c r="K30" s="42">
        <v>4.0840000000000001E-2</v>
      </c>
      <c r="L30" s="42">
        <v>1E-3</v>
      </c>
      <c r="M30" s="42">
        <v>1.99E-3</v>
      </c>
      <c r="N30" s="42">
        <v>0.15307999999999999</v>
      </c>
      <c r="O30" s="42">
        <v>0.14910999999999999</v>
      </c>
      <c r="P30" s="42">
        <v>0.36281999999999998</v>
      </c>
      <c r="Q30" s="42">
        <v>0</v>
      </c>
      <c r="R30" s="42">
        <v>1.9109999999999999E-2</v>
      </c>
      <c r="S30" s="42">
        <v>3.1390000000000001E-2</v>
      </c>
      <c r="T30" s="42"/>
      <c r="U30" s="42"/>
      <c r="V30" s="43">
        <v>9.1630000000000003E-2</v>
      </c>
    </row>
    <row r="31" spans="1:22" x14ac:dyDescent="0.25">
      <c r="A31" s="41" t="s">
        <v>43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>
        <v>0</v>
      </c>
      <c r="P31" s="42"/>
      <c r="Q31" s="42"/>
      <c r="R31" s="42"/>
      <c r="S31" s="42"/>
      <c r="T31" s="42"/>
      <c r="U31" s="42"/>
      <c r="V31" s="43"/>
    </row>
    <row r="32" spans="1:22" x14ac:dyDescent="0.25">
      <c r="A32" s="41" t="s">
        <v>44</v>
      </c>
      <c r="B32" s="42"/>
      <c r="C32" s="42"/>
      <c r="D32" s="42"/>
      <c r="E32" s="42"/>
      <c r="F32" s="42">
        <v>0</v>
      </c>
      <c r="G32" s="42"/>
      <c r="H32" s="42"/>
      <c r="I32" s="42"/>
      <c r="J32" s="42"/>
      <c r="K32" s="42"/>
      <c r="L32" s="42"/>
      <c r="M32" s="42"/>
      <c r="N32" s="42">
        <v>0</v>
      </c>
      <c r="O32" s="42">
        <v>4.4729999999999999E-2</v>
      </c>
      <c r="P32" s="42"/>
      <c r="Q32" s="42"/>
      <c r="R32" s="42"/>
      <c r="S32" s="42"/>
      <c r="T32" s="42"/>
      <c r="U32" s="42"/>
      <c r="V32" s="43"/>
    </row>
    <row r="33" spans="1:22" x14ac:dyDescent="0.25">
      <c r="A33" s="41" t="s">
        <v>45</v>
      </c>
      <c r="B33" s="42"/>
      <c r="C33" s="42">
        <v>7.3709999999999998E-2</v>
      </c>
      <c r="D33" s="42"/>
      <c r="E33" s="42"/>
      <c r="F33" s="42"/>
      <c r="G33" s="42"/>
      <c r="H33" s="42"/>
      <c r="I33" s="42"/>
      <c r="J33" s="42">
        <v>0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/>
    </row>
    <row r="34" spans="1:22" x14ac:dyDescent="0.25">
      <c r="A34" s="41" t="s">
        <v>46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3">
        <v>0</v>
      </c>
    </row>
    <row r="35" spans="1:22" x14ac:dyDescent="0.25">
      <c r="A35" s="41">
        <v>16</v>
      </c>
      <c r="B35" s="42"/>
      <c r="C35" s="42">
        <v>0.10159</v>
      </c>
      <c r="D35" s="42">
        <v>7.9500000000000005E-3</v>
      </c>
      <c r="E35" s="42">
        <v>4.0759999999999998E-2</v>
      </c>
      <c r="F35" s="42">
        <v>0.23061999999999999</v>
      </c>
      <c r="G35" s="42">
        <v>0</v>
      </c>
      <c r="H35" s="42"/>
      <c r="I35" s="42">
        <v>1.9879999999999998E-2</v>
      </c>
      <c r="J35" s="42">
        <v>0.13446</v>
      </c>
      <c r="K35" s="42">
        <v>2.6890000000000001E-2</v>
      </c>
      <c r="L35" s="42"/>
      <c r="M35" s="42"/>
      <c r="N35" s="42">
        <v>0.13022</v>
      </c>
      <c r="O35" s="42">
        <v>4.3740000000000001E-2</v>
      </c>
      <c r="P35" s="42">
        <v>0.37574999999999997</v>
      </c>
      <c r="Q35" s="42">
        <v>0</v>
      </c>
      <c r="R35" s="42">
        <v>3.0200000000000001E-3</v>
      </c>
      <c r="S35" s="42">
        <v>8.9700000000000005E-3</v>
      </c>
      <c r="T35" s="42"/>
      <c r="U35" s="42"/>
      <c r="V35" s="43">
        <v>0.21812999999999999</v>
      </c>
    </row>
    <row r="36" spans="1:22" x14ac:dyDescent="0.25">
      <c r="A36" s="41" t="s">
        <v>47</v>
      </c>
      <c r="B36" s="42"/>
      <c r="C36" s="42"/>
      <c r="D36" s="42"/>
      <c r="E36" s="42"/>
      <c r="F36" s="42">
        <v>0</v>
      </c>
      <c r="G36" s="42"/>
      <c r="H36" s="42"/>
      <c r="I36" s="42"/>
      <c r="J36" s="42"/>
      <c r="K36" s="42">
        <v>0</v>
      </c>
      <c r="L36" s="42"/>
      <c r="M36" s="42"/>
      <c r="N36" s="42"/>
      <c r="O36" s="42">
        <v>1.789E-2</v>
      </c>
      <c r="P36" s="42"/>
      <c r="Q36" s="42">
        <v>0</v>
      </c>
      <c r="R36" s="42"/>
      <c r="S36" s="42"/>
      <c r="T36" s="42"/>
      <c r="U36" s="42"/>
      <c r="V36" s="43"/>
    </row>
    <row r="37" spans="1:22" x14ac:dyDescent="0.25">
      <c r="A37" s="41" t="s">
        <v>48</v>
      </c>
      <c r="B37" s="42"/>
      <c r="C37" s="42">
        <v>5.9760000000000001E-2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>
        <v>0</v>
      </c>
      <c r="O37" s="42"/>
      <c r="P37" s="42"/>
      <c r="Q37" s="42"/>
      <c r="R37" s="42"/>
      <c r="S37" s="42"/>
      <c r="T37" s="42"/>
      <c r="U37" s="42"/>
      <c r="V37" s="43"/>
    </row>
    <row r="38" spans="1:22" x14ac:dyDescent="0.25">
      <c r="A38" s="41">
        <v>17</v>
      </c>
      <c r="B38" s="42"/>
      <c r="C38" s="42">
        <v>4.0840000000000001E-2</v>
      </c>
      <c r="D38" s="42"/>
      <c r="E38" s="42">
        <v>0.24056</v>
      </c>
      <c r="F38" s="42">
        <v>0.20080000000000001</v>
      </c>
      <c r="G38" s="42"/>
      <c r="H38" s="42"/>
      <c r="I38" s="42">
        <v>7.9500000000000005E-3</v>
      </c>
      <c r="J38" s="42">
        <v>3.984E-2</v>
      </c>
      <c r="K38" s="42">
        <v>9.4619999999999996E-2</v>
      </c>
      <c r="L38" s="42"/>
      <c r="M38" s="42"/>
      <c r="N38" s="42">
        <v>0.10537000000000001</v>
      </c>
      <c r="O38" s="42">
        <v>5.96E-3</v>
      </c>
      <c r="P38" s="42">
        <v>9.6420000000000006E-2</v>
      </c>
      <c r="Q38" s="42">
        <v>1.99E-3</v>
      </c>
      <c r="R38" s="42">
        <v>0</v>
      </c>
      <c r="S38" s="42">
        <v>0</v>
      </c>
      <c r="T38" s="42"/>
      <c r="U38" s="42"/>
      <c r="V38" s="43">
        <v>0.26594000000000001</v>
      </c>
    </row>
    <row r="39" spans="1:22" x14ac:dyDescent="0.25">
      <c r="A39" s="41" t="s">
        <v>49</v>
      </c>
      <c r="B39" s="42"/>
      <c r="C39" s="42">
        <v>0</v>
      </c>
      <c r="D39" s="42"/>
      <c r="E39" s="42"/>
      <c r="F39" s="42"/>
      <c r="G39" s="42"/>
      <c r="H39" s="42"/>
      <c r="I39" s="42"/>
      <c r="J39" s="42"/>
      <c r="K39" s="42">
        <v>0</v>
      </c>
      <c r="L39" s="42"/>
      <c r="M39" s="42"/>
      <c r="N39" s="42"/>
      <c r="O39" s="42">
        <v>1.99E-3</v>
      </c>
      <c r="P39" s="42"/>
      <c r="Q39" s="42"/>
      <c r="R39" s="42"/>
      <c r="S39" s="42"/>
      <c r="T39" s="42"/>
      <c r="U39" s="42"/>
      <c r="V39" s="43"/>
    </row>
    <row r="40" spans="1:22" x14ac:dyDescent="0.25">
      <c r="A40" s="41" t="s">
        <v>50</v>
      </c>
      <c r="B40" s="42"/>
      <c r="C40" s="42">
        <v>0.13048000000000001</v>
      </c>
      <c r="D40" s="42"/>
      <c r="E40" s="42"/>
      <c r="F40" s="42"/>
      <c r="G40" s="42"/>
      <c r="H40" s="42"/>
      <c r="I40" s="42"/>
      <c r="J40" s="42"/>
      <c r="K40" s="42">
        <v>1.8919999999999999E-2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</row>
    <row r="41" spans="1:22" x14ac:dyDescent="0.25">
      <c r="A41" s="41">
        <v>18</v>
      </c>
      <c r="B41" s="42"/>
      <c r="C41" s="42">
        <v>1.99E-3</v>
      </c>
      <c r="D41" s="42"/>
      <c r="E41" s="42">
        <v>6.3619999999999996E-2</v>
      </c>
      <c r="F41" s="42">
        <v>0.15507000000000001</v>
      </c>
      <c r="G41" s="42"/>
      <c r="H41" s="42"/>
      <c r="I41" s="42">
        <v>2.98E-3</v>
      </c>
      <c r="J41" s="42">
        <v>4.9800000000000001E-3</v>
      </c>
      <c r="K41" s="42">
        <v>0.18326999999999999</v>
      </c>
      <c r="L41" s="42"/>
      <c r="M41" s="42"/>
      <c r="N41" s="42">
        <v>6.6600000000000006E-2</v>
      </c>
      <c r="O41" s="42"/>
      <c r="P41" s="42">
        <v>6.96E-3</v>
      </c>
      <c r="Q41" s="42">
        <v>1.3939999999999999E-2</v>
      </c>
      <c r="R41" s="42"/>
      <c r="S41" s="42"/>
      <c r="T41" s="42"/>
      <c r="U41" s="42"/>
      <c r="V41" s="43">
        <v>0.19323000000000001</v>
      </c>
    </row>
    <row r="42" spans="1:22" x14ac:dyDescent="0.25">
      <c r="A42" s="41" t="s">
        <v>51</v>
      </c>
      <c r="B42" s="42"/>
      <c r="C42" s="42"/>
      <c r="D42" s="42"/>
      <c r="E42" s="42"/>
      <c r="F42" s="42"/>
      <c r="G42" s="42"/>
      <c r="H42" s="42"/>
      <c r="I42" s="42"/>
      <c r="J42" s="42"/>
      <c r="K42" s="42">
        <v>0</v>
      </c>
      <c r="L42" s="42"/>
      <c r="M42" s="42"/>
      <c r="N42" s="42">
        <v>0</v>
      </c>
      <c r="O42" s="42">
        <v>2.98E-3</v>
      </c>
      <c r="P42" s="42"/>
      <c r="Q42" s="42">
        <v>0</v>
      </c>
      <c r="R42" s="42"/>
      <c r="S42" s="42"/>
      <c r="T42" s="42"/>
      <c r="U42" s="42"/>
      <c r="V42" s="43"/>
    </row>
    <row r="43" spans="1:22" x14ac:dyDescent="0.25">
      <c r="A43" s="41" t="s">
        <v>52</v>
      </c>
      <c r="B43" s="42"/>
      <c r="C43" s="42">
        <v>6.7729999999999999E-2</v>
      </c>
      <c r="D43" s="42"/>
      <c r="E43" s="42"/>
      <c r="F43" s="42"/>
      <c r="G43" s="42"/>
      <c r="H43" s="42"/>
      <c r="I43" s="42"/>
      <c r="J43" s="42"/>
      <c r="K43" s="42">
        <v>2.6890000000000001E-2</v>
      </c>
      <c r="L43" s="42"/>
      <c r="M43" s="42"/>
      <c r="N43" s="42"/>
      <c r="O43" s="42"/>
      <c r="P43" s="42"/>
      <c r="Q43" s="42">
        <v>1E-3</v>
      </c>
      <c r="R43" s="42"/>
      <c r="S43" s="42"/>
      <c r="T43" s="42"/>
      <c r="U43" s="42"/>
      <c r="V43" s="43">
        <v>1E-3</v>
      </c>
    </row>
    <row r="44" spans="1:22" x14ac:dyDescent="0.25">
      <c r="A44" s="41">
        <v>19</v>
      </c>
      <c r="B44" s="42"/>
      <c r="C44" s="42">
        <v>0</v>
      </c>
      <c r="D44" s="42"/>
      <c r="E44" s="42">
        <v>0.11531</v>
      </c>
      <c r="F44" s="42">
        <v>1.193E-2</v>
      </c>
      <c r="G44" s="42"/>
      <c r="H44" s="42"/>
      <c r="I44" s="42"/>
      <c r="J44" s="42">
        <v>0</v>
      </c>
      <c r="K44" s="42">
        <v>0.13844999999999999</v>
      </c>
      <c r="L44" s="42"/>
      <c r="M44" s="42"/>
      <c r="N44" s="42">
        <v>4.3740000000000001E-2</v>
      </c>
      <c r="O44" s="42"/>
      <c r="P44" s="42">
        <v>9.8999999999999999E-4</v>
      </c>
      <c r="Q44" s="42">
        <v>5.876E-2</v>
      </c>
      <c r="R44" s="42"/>
      <c r="S44" s="42"/>
      <c r="T44" s="42"/>
      <c r="U44" s="42"/>
      <c r="V44" s="43">
        <v>7.8689999999999996E-2</v>
      </c>
    </row>
    <row r="45" spans="1:22" x14ac:dyDescent="0.25">
      <c r="A45" s="41" t="s">
        <v>53</v>
      </c>
      <c r="B45" s="42"/>
      <c r="C45" s="42"/>
      <c r="D45" s="42"/>
      <c r="E45" s="42"/>
      <c r="F45" s="42"/>
      <c r="G45" s="42"/>
      <c r="H45" s="42"/>
      <c r="I45" s="42"/>
      <c r="J45" s="42"/>
      <c r="K45" s="42">
        <v>0</v>
      </c>
      <c r="L45" s="42"/>
      <c r="M45" s="42"/>
      <c r="N45" s="42"/>
      <c r="O45" s="42"/>
      <c r="P45" s="42"/>
      <c r="Q45" s="42">
        <v>0</v>
      </c>
      <c r="R45" s="42"/>
      <c r="S45" s="42"/>
      <c r="T45" s="42"/>
      <c r="U45" s="42"/>
      <c r="V45" s="43"/>
    </row>
    <row r="46" spans="1:22" x14ac:dyDescent="0.25">
      <c r="A46" s="41" t="s">
        <v>54</v>
      </c>
      <c r="B46" s="42"/>
      <c r="C46" s="42">
        <v>9.9600000000000001E-3</v>
      </c>
      <c r="D46" s="42"/>
      <c r="E46" s="42"/>
      <c r="F46" s="42"/>
      <c r="G46" s="42"/>
      <c r="H46" s="42"/>
      <c r="I46" s="42"/>
      <c r="J46" s="42"/>
      <c r="K46" s="42">
        <v>9.9600000000000001E-3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/>
    </row>
    <row r="47" spans="1:22" x14ac:dyDescent="0.25">
      <c r="A47" s="41">
        <v>20</v>
      </c>
      <c r="B47" s="42"/>
      <c r="C47" s="42"/>
      <c r="D47" s="42"/>
      <c r="E47" s="42">
        <v>0.13718</v>
      </c>
      <c r="F47" s="42">
        <v>2.98E-3</v>
      </c>
      <c r="G47" s="42"/>
      <c r="H47" s="42"/>
      <c r="I47" s="42"/>
      <c r="J47" s="42"/>
      <c r="K47" s="42">
        <v>0.11355</v>
      </c>
      <c r="L47" s="42"/>
      <c r="M47" s="42"/>
      <c r="N47" s="42">
        <v>2.087E-2</v>
      </c>
      <c r="O47" s="42"/>
      <c r="P47" s="42">
        <v>0</v>
      </c>
      <c r="Q47" s="42">
        <v>0.15040000000000001</v>
      </c>
      <c r="R47" s="42"/>
      <c r="S47" s="42"/>
      <c r="T47" s="42"/>
      <c r="U47" s="42"/>
      <c r="V47" s="43">
        <v>1.992E-2</v>
      </c>
    </row>
    <row r="48" spans="1:22" x14ac:dyDescent="0.25">
      <c r="A48" s="41" t="s">
        <v>55</v>
      </c>
      <c r="B48" s="42"/>
      <c r="C48" s="42"/>
      <c r="D48" s="42"/>
      <c r="E48" s="42"/>
      <c r="F48" s="42"/>
      <c r="G48" s="42"/>
      <c r="H48" s="42"/>
      <c r="I48" s="42"/>
      <c r="J48" s="42"/>
      <c r="K48" s="42">
        <v>0</v>
      </c>
      <c r="L48" s="42"/>
      <c r="M48" s="42"/>
      <c r="N48" s="42">
        <v>9.8999999999999999E-4</v>
      </c>
      <c r="O48" s="42"/>
      <c r="P48" s="42"/>
      <c r="Q48" s="42">
        <v>1E-3</v>
      </c>
      <c r="R48" s="42"/>
      <c r="S48" s="42"/>
      <c r="T48" s="42"/>
      <c r="U48" s="42"/>
      <c r="V48" s="43"/>
    </row>
    <row r="49" spans="1:22" x14ac:dyDescent="0.25">
      <c r="A49" s="41" t="s">
        <v>56</v>
      </c>
      <c r="B49" s="42"/>
      <c r="C49" s="42">
        <v>1E-3</v>
      </c>
      <c r="D49" s="42"/>
      <c r="E49" s="42"/>
      <c r="F49" s="42"/>
      <c r="G49" s="42"/>
      <c r="H49" s="42"/>
      <c r="I49" s="42"/>
      <c r="J49" s="42"/>
      <c r="K49" s="42">
        <v>0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/>
    </row>
    <row r="50" spans="1:22" x14ac:dyDescent="0.25">
      <c r="A50" s="41">
        <v>21</v>
      </c>
      <c r="B50" s="42"/>
      <c r="C50" s="42"/>
      <c r="D50" s="42"/>
      <c r="E50" s="42">
        <v>3.8769999999999999E-2</v>
      </c>
      <c r="F50" s="42"/>
      <c r="G50" s="42"/>
      <c r="H50" s="42"/>
      <c r="I50" s="42"/>
      <c r="J50" s="42"/>
      <c r="K50" s="42">
        <v>0.10458000000000001</v>
      </c>
      <c r="L50" s="42"/>
      <c r="M50" s="42"/>
      <c r="N50" s="42">
        <v>6.96E-3</v>
      </c>
      <c r="O50" s="42"/>
      <c r="P50" s="42">
        <v>0</v>
      </c>
      <c r="Q50" s="42">
        <v>0.15837000000000001</v>
      </c>
      <c r="R50" s="42"/>
      <c r="S50" s="42"/>
      <c r="T50" s="42"/>
      <c r="U50" s="42"/>
      <c r="V50" s="43">
        <v>0</v>
      </c>
    </row>
    <row r="51" spans="1:22" x14ac:dyDescent="0.25">
      <c r="A51" s="41" t="s">
        <v>57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>
        <v>1.99E-3</v>
      </c>
      <c r="R51" s="42"/>
      <c r="S51" s="42"/>
      <c r="T51" s="42"/>
      <c r="U51" s="42"/>
      <c r="V51" s="43"/>
    </row>
    <row r="52" spans="1:22" x14ac:dyDescent="0.25">
      <c r="A52" s="41">
        <v>22</v>
      </c>
      <c r="B52" s="42"/>
      <c r="C52" s="42"/>
      <c r="D52" s="42"/>
      <c r="E52" s="42">
        <v>2.6839999999999999E-2</v>
      </c>
      <c r="F52" s="42"/>
      <c r="G52" s="42"/>
      <c r="H52" s="42"/>
      <c r="I52" s="42"/>
      <c r="J52" s="42"/>
      <c r="K52" s="42">
        <v>0.10657</v>
      </c>
      <c r="L52" s="42"/>
      <c r="M52" s="42"/>
      <c r="N52" s="42">
        <v>9.8999999999999999E-4</v>
      </c>
      <c r="O52" s="42"/>
      <c r="P52" s="42"/>
      <c r="Q52" s="42">
        <v>0.19422</v>
      </c>
      <c r="R52" s="42"/>
      <c r="S52" s="42"/>
      <c r="T52" s="42"/>
      <c r="U52" s="42"/>
      <c r="V52" s="43">
        <v>0</v>
      </c>
    </row>
    <row r="53" spans="1:22" x14ac:dyDescent="0.25">
      <c r="A53" s="41" t="s">
        <v>58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>
        <v>5.9800000000000001E-3</v>
      </c>
      <c r="R53" s="42"/>
      <c r="S53" s="42"/>
      <c r="T53" s="42"/>
      <c r="U53" s="42"/>
      <c r="V53" s="43"/>
    </row>
    <row r="54" spans="1:22" x14ac:dyDescent="0.25">
      <c r="A54" s="41">
        <v>23</v>
      </c>
      <c r="B54" s="42"/>
      <c r="C54" s="42"/>
      <c r="D54" s="42"/>
      <c r="E54" s="42">
        <v>8.9459999999999998E-2</v>
      </c>
      <c r="F54" s="42"/>
      <c r="G54" s="42"/>
      <c r="H54" s="42"/>
      <c r="I54" s="42"/>
      <c r="J54" s="42"/>
      <c r="K54" s="42">
        <v>9.3630000000000005E-2</v>
      </c>
      <c r="L54" s="42"/>
      <c r="M54" s="42"/>
      <c r="N54" s="42">
        <v>0</v>
      </c>
      <c r="O54" s="42"/>
      <c r="P54" s="42"/>
      <c r="Q54" s="42">
        <v>0.17729</v>
      </c>
      <c r="R54" s="42"/>
      <c r="S54" s="42"/>
      <c r="T54" s="42"/>
      <c r="U54" s="42"/>
      <c r="V54" s="43"/>
    </row>
    <row r="55" spans="1:22" x14ac:dyDescent="0.25">
      <c r="A55" s="41" t="s">
        <v>59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>
        <v>1.99E-3</v>
      </c>
      <c r="R55" s="42"/>
      <c r="S55" s="42"/>
      <c r="T55" s="42"/>
      <c r="U55" s="42"/>
      <c r="V55" s="43"/>
    </row>
    <row r="56" spans="1:22" x14ac:dyDescent="0.25">
      <c r="A56" s="41" t="s">
        <v>60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>
        <v>0</v>
      </c>
      <c r="R56" s="42"/>
      <c r="S56" s="42"/>
      <c r="T56" s="42"/>
      <c r="U56" s="42"/>
      <c r="V56" s="43"/>
    </row>
    <row r="57" spans="1:22" x14ac:dyDescent="0.25">
      <c r="A57" s="41">
        <v>24</v>
      </c>
      <c r="B57" s="42"/>
      <c r="C57" s="42"/>
      <c r="D57" s="42"/>
      <c r="E57" s="42">
        <v>0.10437</v>
      </c>
      <c r="F57" s="42"/>
      <c r="G57" s="42"/>
      <c r="H57" s="42"/>
      <c r="I57" s="42"/>
      <c r="J57" s="42"/>
      <c r="K57" s="42">
        <v>2.4899999999999999E-2</v>
      </c>
      <c r="L57" s="42"/>
      <c r="M57" s="42"/>
      <c r="N57" s="42">
        <v>0</v>
      </c>
      <c r="O57" s="42"/>
      <c r="P57" s="42"/>
      <c r="Q57" s="42">
        <v>0.13446</v>
      </c>
      <c r="R57" s="42"/>
      <c r="S57" s="42"/>
      <c r="T57" s="42"/>
      <c r="U57" s="42"/>
      <c r="V57" s="43"/>
    </row>
    <row r="58" spans="1:22" x14ac:dyDescent="0.25">
      <c r="A58" s="41" t="s">
        <v>61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>
        <v>1E-3</v>
      </c>
      <c r="R58" s="42"/>
      <c r="S58" s="42"/>
      <c r="T58" s="42"/>
      <c r="U58" s="42"/>
      <c r="V58" s="43"/>
    </row>
    <row r="59" spans="1:22" x14ac:dyDescent="0.25">
      <c r="A59" s="41">
        <v>25</v>
      </c>
      <c r="B59" s="42"/>
      <c r="C59" s="42"/>
      <c r="D59" s="42"/>
      <c r="E59" s="42">
        <v>0.11332</v>
      </c>
      <c r="F59" s="42"/>
      <c r="G59" s="42"/>
      <c r="H59" s="42"/>
      <c r="I59" s="42"/>
      <c r="J59" s="42"/>
      <c r="K59" s="42">
        <v>1.3939999999999999E-2</v>
      </c>
      <c r="L59" s="42"/>
      <c r="M59" s="42"/>
      <c r="N59" s="42">
        <v>0</v>
      </c>
      <c r="O59" s="42"/>
      <c r="P59" s="42"/>
      <c r="Q59" s="42">
        <v>7.3709999999999998E-2</v>
      </c>
      <c r="R59" s="42"/>
      <c r="S59" s="42"/>
      <c r="T59" s="42"/>
      <c r="U59" s="42"/>
      <c r="V59" s="43"/>
    </row>
    <row r="60" spans="1:22" x14ac:dyDescent="0.25">
      <c r="A60" s="41" t="s">
        <v>62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>
        <v>0</v>
      </c>
      <c r="R60" s="42"/>
      <c r="S60" s="42"/>
      <c r="T60" s="42"/>
      <c r="U60" s="42"/>
      <c r="V60" s="43"/>
    </row>
    <row r="61" spans="1:22" x14ac:dyDescent="0.25">
      <c r="A61" s="41" t="s">
        <v>63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>
        <v>0</v>
      </c>
      <c r="R61" s="42"/>
      <c r="S61" s="42"/>
      <c r="T61" s="42"/>
      <c r="U61" s="42"/>
      <c r="V61" s="43"/>
    </row>
    <row r="62" spans="1:22" x14ac:dyDescent="0.25">
      <c r="A62" s="41">
        <v>26</v>
      </c>
      <c r="B62" s="42"/>
      <c r="C62" s="42"/>
      <c r="D62" s="42"/>
      <c r="E62" s="42">
        <v>2.1870000000000001E-2</v>
      </c>
      <c r="F62" s="42"/>
      <c r="G62" s="42"/>
      <c r="H62" s="42"/>
      <c r="I62" s="42"/>
      <c r="J62" s="42"/>
      <c r="K62" s="42">
        <v>2.99E-3</v>
      </c>
      <c r="L62" s="42"/>
      <c r="M62" s="42"/>
      <c r="N62" s="42"/>
      <c r="O62" s="42"/>
      <c r="P62" s="42"/>
      <c r="Q62" s="42">
        <v>1.992E-2</v>
      </c>
      <c r="R62" s="42"/>
      <c r="S62" s="42"/>
      <c r="T62" s="42"/>
      <c r="U62" s="42"/>
      <c r="V62" s="43"/>
    </row>
    <row r="63" spans="1:22" x14ac:dyDescent="0.25">
      <c r="A63" s="41" t="s">
        <v>64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>
        <v>0</v>
      </c>
      <c r="R63" s="42"/>
      <c r="S63" s="42"/>
      <c r="T63" s="42"/>
      <c r="U63" s="42"/>
      <c r="V63" s="43"/>
    </row>
    <row r="64" spans="1:22" x14ac:dyDescent="0.25">
      <c r="A64" s="41" t="s">
        <v>65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>
        <v>0</v>
      </c>
      <c r="R64" s="42"/>
      <c r="S64" s="42"/>
      <c r="T64" s="42"/>
      <c r="U64" s="42"/>
      <c r="V64" s="43"/>
    </row>
    <row r="65" spans="1:22" x14ac:dyDescent="0.25">
      <c r="A65" s="41">
        <v>27</v>
      </c>
      <c r="B65" s="42"/>
      <c r="C65" s="42"/>
      <c r="D65" s="42"/>
      <c r="E65" s="42">
        <v>4.9699999999999996E-3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>
        <v>2.99E-3</v>
      </c>
      <c r="R65" s="42"/>
      <c r="S65" s="42"/>
      <c r="T65" s="42"/>
      <c r="U65" s="42"/>
      <c r="V65" s="43"/>
    </row>
    <row r="66" spans="1:22" x14ac:dyDescent="0.25">
      <c r="A66" s="41" t="s">
        <v>66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>
        <v>0</v>
      </c>
      <c r="R66" s="42"/>
      <c r="S66" s="42"/>
      <c r="T66" s="42"/>
      <c r="U66" s="42"/>
      <c r="V66" s="43"/>
    </row>
    <row r="67" spans="1:22" x14ac:dyDescent="0.25">
      <c r="A67" s="41">
        <v>28</v>
      </c>
      <c r="B67" s="42"/>
      <c r="C67" s="42"/>
      <c r="D67" s="42"/>
      <c r="E67" s="42">
        <v>9.8999999999999999E-4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>
        <v>1E-3</v>
      </c>
      <c r="R67" s="42"/>
      <c r="S67" s="42"/>
      <c r="T67" s="42"/>
      <c r="U67" s="42"/>
      <c r="V67" s="43"/>
    </row>
    <row r="68" spans="1:22" x14ac:dyDescent="0.25">
      <c r="A68" s="41">
        <v>29</v>
      </c>
      <c r="B68" s="42"/>
      <c r="C68" s="42"/>
      <c r="D68" s="42"/>
      <c r="E68" s="42">
        <v>0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>
        <v>0</v>
      </c>
      <c r="R68" s="42"/>
      <c r="S68" s="42"/>
      <c r="T68" s="42"/>
      <c r="U68" s="42"/>
      <c r="V68" s="43"/>
    </row>
    <row r="69" spans="1:22" x14ac:dyDescent="0.25">
      <c r="A69" s="41">
        <v>30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>
        <v>0</v>
      </c>
      <c r="R69" s="42"/>
      <c r="S69" s="42"/>
      <c r="T69" s="42"/>
      <c r="U69" s="42"/>
      <c r="V69" s="43"/>
    </row>
    <row r="70" spans="1:22" x14ac:dyDescent="0.25">
      <c r="A70" s="65"/>
      <c r="B70" s="66" t="s">
        <v>0</v>
      </c>
      <c r="C70" s="66" t="s">
        <v>7</v>
      </c>
      <c r="D70" s="66" t="s">
        <v>10</v>
      </c>
      <c r="E70" s="66" t="s">
        <v>9</v>
      </c>
      <c r="F70" s="66" t="s">
        <v>11</v>
      </c>
      <c r="G70" s="66" t="s">
        <v>12</v>
      </c>
      <c r="H70" s="66" t="s">
        <v>13</v>
      </c>
      <c r="I70" s="66" t="s">
        <v>14</v>
      </c>
      <c r="J70" s="66" t="s">
        <v>1</v>
      </c>
      <c r="K70" s="66" t="s">
        <v>2</v>
      </c>
      <c r="L70" s="66" t="s">
        <v>3</v>
      </c>
      <c r="M70" s="66" t="s">
        <v>4</v>
      </c>
      <c r="N70" s="66" t="s">
        <v>5</v>
      </c>
      <c r="O70" s="66" t="s">
        <v>6</v>
      </c>
      <c r="P70" s="66" t="s">
        <v>8</v>
      </c>
      <c r="Q70" s="66" t="s">
        <v>15</v>
      </c>
      <c r="R70" s="66" t="s">
        <v>141</v>
      </c>
      <c r="S70" s="66" t="s">
        <v>142</v>
      </c>
      <c r="T70" s="66" t="s">
        <v>16</v>
      </c>
      <c r="U70" s="66" t="s">
        <v>17</v>
      </c>
      <c r="V70" s="67" t="s">
        <v>18</v>
      </c>
    </row>
    <row r="71" spans="1:22" x14ac:dyDescent="0.25">
      <c r="A71" s="44" t="s">
        <v>19</v>
      </c>
      <c r="B71" s="45">
        <v>503</v>
      </c>
      <c r="C71" s="45">
        <v>502</v>
      </c>
      <c r="D71" s="45">
        <v>503</v>
      </c>
      <c r="E71" s="45">
        <v>503</v>
      </c>
      <c r="F71" s="45">
        <v>503</v>
      </c>
      <c r="G71" s="45">
        <v>503</v>
      </c>
      <c r="H71" s="45">
        <v>503</v>
      </c>
      <c r="I71" s="45">
        <v>503</v>
      </c>
      <c r="J71" s="45">
        <v>502</v>
      </c>
      <c r="K71" s="45">
        <v>502</v>
      </c>
      <c r="L71" s="45">
        <v>502</v>
      </c>
      <c r="M71" s="45">
        <v>503</v>
      </c>
      <c r="N71" s="45">
        <v>503</v>
      </c>
      <c r="O71" s="45">
        <v>503</v>
      </c>
      <c r="P71" s="45">
        <v>503</v>
      </c>
      <c r="Q71" s="45">
        <v>502</v>
      </c>
      <c r="R71" s="45">
        <v>497</v>
      </c>
      <c r="S71" s="45">
        <v>446</v>
      </c>
      <c r="T71" s="45">
        <v>503</v>
      </c>
      <c r="U71" s="45">
        <v>503</v>
      </c>
      <c r="V71" s="46">
        <v>502</v>
      </c>
    </row>
    <row r="72" spans="1:22" x14ac:dyDescent="0.25">
      <c r="A72" s="41" t="s">
        <v>20</v>
      </c>
      <c r="B72" s="47">
        <v>10</v>
      </c>
      <c r="C72" s="47">
        <v>17</v>
      </c>
      <c r="D72" s="47">
        <v>10</v>
      </c>
      <c r="E72" s="47">
        <v>15</v>
      </c>
      <c r="F72" s="47">
        <v>8</v>
      </c>
      <c r="G72" s="47">
        <v>9</v>
      </c>
      <c r="H72" s="47">
        <v>10</v>
      </c>
      <c r="I72" s="47">
        <v>11</v>
      </c>
      <c r="J72" s="47">
        <v>8</v>
      </c>
      <c r="K72" s="47">
        <v>15</v>
      </c>
      <c r="L72" s="47">
        <v>8</v>
      </c>
      <c r="M72" s="47">
        <v>8</v>
      </c>
      <c r="N72" s="47">
        <v>15</v>
      </c>
      <c r="O72" s="47">
        <v>15</v>
      </c>
      <c r="P72" s="47">
        <v>10</v>
      </c>
      <c r="Q72" s="47">
        <v>18</v>
      </c>
      <c r="R72" s="47">
        <v>12</v>
      </c>
      <c r="S72" s="47">
        <v>12</v>
      </c>
      <c r="T72" s="47">
        <v>7</v>
      </c>
      <c r="U72" s="47">
        <v>6</v>
      </c>
      <c r="V72" s="48">
        <v>9</v>
      </c>
    </row>
    <row r="73" spans="1:22" x14ac:dyDescent="0.25">
      <c r="A73" s="41" t="s">
        <v>21</v>
      </c>
      <c r="B73" s="42">
        <v>0.73799999999999999</v>
      </c>
      <c r="C73" s="42">
        <v>0.89200000000000002</v>
      </c>
      <c r="D73" s="42">
        <v>0.75</v>
      </c>
      <c r="E73" s="42">
        <v>0.871</v>
      </c>
      <c r="F73" s="42">
        <v>0.80500000000000005</v>
      </c>
      <c r="G73" s="42">
        <v>0.71199999999999997</v>
      </c>
      <c r="H73" s="42">
        <v>0.82299999999999995</v>
      </c>
      <c r="I73" s="42">
        <v>0.83699999999999997</v>
      </c>
      <c r="J73" s="42">
        <v>0.72499999999999998</v>
      </c>
      <c r="K73" s="42">
        <v>0.86499999999999999</v>
      </c>
      <c r="L73" s="42">
        <v>0.76700000000000002</v>
      </c>
      <c r="M73" s="42">
        <v>0.77300000000000002</v>
      </c>
      <c r="N73" s="42">
        <v>0.86899999999999999</v>
      </c>
      <c r="O73" s="42">
        <v>0.77100000000000002</v>
      </c>
      <c r="P73" s="42">
        <v>0.68799999999999994</v>
      </c>
      <c r="Q73" s="42">
        <v>0.84499999999999997</v>
      </c>
      <c r="R73" s="42">
        <v>0.79700000000000004</v>
      </c>
      <c r="S73" s="42">
        <v>0.54700000000000004</v>
      </c>
      <c r="T73" s="42">
        <v>0.76100000000000001</v>
      </c>
      <c r="U73" s="42">
        <v>0.62</v>
      </c>
      <c r="V73" s="43">
        <v>0.81499999999999995</v>
      </c>
    </row>
    <row r="74" spans="1:22" x14ac:dyDescent="0.25">
      <c r="A74" s="41" t="s">
        <v>22</v>
      </c>
      <c r="B74" s="42">
        <v>0.72599999999999998</v>
      </c>
      <c r="C74" s="42">
        <v>0.90300000000000002</v>
      </c>
      <c r="D74" s="42">
        <v>0.748</v>
      </c>
      <c r="E74" s="42">
        <v>0.87</v>
      </c>
      <c r="F74" s="42">
        <v>0.79400000000000004</v>
      </c>
      <c r="G74" s="42">
        <v>0.72199999999999998</v>
      </c>
      <c r="H74" s="42">
        <v>0.80900000000000005</v>
      </c>
      <c r="I74" s="42">
        <v>0.81399999999999995</v>
      </c>
      <c r="J74" s="42">
        <v>0.76900000000000002</v>
      </c>
      <c r="K74" s="42">
        <v>0.89</v>
      </c>
      <c r="L74" s="42">
        <v>0.78200000000000003</v>
      </c>
      <c r="M74" s="42">
        <v>0.76700000000000002</v>
      </c>
      <c r="N74" s="42">
        <v>0.874</v>
      </c>
      <c r="O74" s="42">
        <v>0.77600000000000002</v>
      </c>
      <c r="P74" s="42">
        <v>0.70399999999999996</v>
      </c>
      <c r="Q74" s="42">
        <v>0.85599999999999998</v>
      </c>
      <c r="R74" s="42">
        <v>0.82899999999999996</v>
      </c>
      <c r="S74" s="42">
        <v>0.85499999999999998</v>
      </c>
      <c r="T74" s="42">
        <v>0.78300000000000003</v>
      </c>
      <c r="U74" s="42">
        <v>0.63700000000000001</v>
      </c>
      <c r="V74" s="43">
        <v>0.81299999999999994</v>
      </c>
    </row>
    <row r="75" spans="1:22" x14ac:dyDescent="0.25">
      <c r="A75" s="41" t="s">
        <v>23</v>
      </c>
      <c r="B75" s="49">
        <v>0.12720000000000001</v>
      </c>
      <c r="C75" s="49">
        <v>1.8499999999999999E-2</v>
      </c>
      <c r="D75" s="49">
        <v>0.1027</v>
      </c>
      <c r="E75" s="49">
        <v>3.2199999999999999E-2</v>
      </c>
      <c r="F75" s="49">
        <v>7.5600000000000001E-2</v>
      </c>
      <c r="G75" s="49">
        <v>0.13120000000000001</v>
      </c>
      <c r="H75" s="49">
        <v>6.6400000000000001E-2</v>
      </c>
      <c r="I75" s="49">
        <v>5.62E-2</v>
      </c>
      <c r="J75" s="49">
        <v>8.8999999999999996E-2</v>
      </c>
      <c r="K75" s="49">
        <v>2.3E-2</v>
      </c>
      <c r="L75" s="49">
        <v>7.46E-2</v>
      </c>
      <c r="M75" s="49">
        <v>9.4799999999999995E-2</v>
      </c>
      <c r="N75" s="49">
        <v>3.0099999999999998E-2</v>
      </c>
      <c r="O75" s="49">
        <v>7.7600000000000002E-2</v>
      </c>
      <c r="P75" s="49">
        <v>0.13389999999999999</v>
      </c>
      <c r="Q75" s="49">
        <v>3.8399999999999997E-2</v>
      </c>
      <c r="R75" s="49">
        <v>5.2400000000000002E-2</v>
      </c>
      <c r="S75" s="49">
        <v>4.7E-2</v>
      </c>
      <c r="T75" s="49">
        <v>8.2100000000000006E-2</v>
      </c>
      <c r="U75" s="49">
        <v>0.19189999999999999</v>
      </c>
      <c r="V75" s="50">
        <v>6.2700000000000006E-2</v>
      </c>
    </row>
    <row r="76" spans="1:22" x14ac:dyDescent="0.25">
      <c r="A76" s="41" t="s">
        <v>24</v>
      </c>
      <c r="B76" s="49">
        <v>0.48880000000000001</v>
      </c>
      <c r="C76" s="49">
        <v>0.78</v>
      </c>
      <c r="D76" s="49">
        <v>0.50890000000000002</v>
      </c>
      <c r="E76" s="49">
        <v>0.73619999999999997</v>
      </c>
      <c r="F76" s="49">
        <v>0.60870000000000002</v>
      </c>
      <c r="G76" s="49">
        <v>0.4466</v>
      </c>
      <c r="H76" s="49">
        <v>0.64249999999999996</v>
      </c>
      <c r="I76" s="49">
        <v>0.6694</v>
      </c>
      <c r="J76" s="49">
        <v>0.46810000000000002</v>
      </c>
      <c r="K76" s="49">
        <v>0.72370000000000001</v>
      </c>
      <c r="L76" s="49">
        <v>0.53920000000000001</v>
      </c>
      <c r="M76" s="49">
        <v>0.55059999999999998</v>
      </c>
      <c r="N76" s="49">
        <v>0.73219999999999996</v>
      </c>
      <c r="O76" s="49">
        <v>0.54700000000000004</v>
      </c>
      <c r="P76" s="49">
        <v>0.4098</v>
      </c>
      <c r="Q76" s="49">
        <v>0.68430000000000002</v>
      </c>
      <c r="R76" s="49">
        <v>0.59309999999999996</v>
      </c>
      <c r="S76" s="49">
        <v>0.2321</v>
      </c>
      <c r="T76" s="49">
        <v>0.52949999999999997</v>
      </c>
      <c r="U76" s="49">
        <v>0.31590000000000001</v>
      </c>
      <c r="V76" s="50">
        <v>0.62670000000000003</v>
      </c>
    </row>
    <row r="77" spans="1:22" x14ac:dyDescent="0.25">
      <c r="A77" s="41" t="s">
        <v>25</v>
      </c>
      <c r="B77" s="49">
        <v>0.87280000000000002</v>
      </c>
      <c r="C77" s="49">
        <v>0.98150000000000004</v>
      </c>
      <c r="D77" s="49">
        <v>0.89729999999999999</v>
      </c>
      <c r="E77" s="49">
        <v>0.96779999999999999</v>
      </c>
      <c r="F77" s="49">
        <v>0.9244</v>
      </c>
      <c r="G77" s="49">
        <v>0.86880000000000002</v>
      </c>
      <c r="H77" s="49">
        <v>0.93359999999999999</v>
      </c>
      <c r="I77" s="49">
        <v>0.94379999999999997</v>
      </c>
      <c r="J77" s="49">
        <v>0.91100000000000003</v>
      </c>
      <c r="K77" s="49">
        <v>0.97699999999999998</v>
      </c>
      <c r="L77" s="49">
        <v>0.9254</v>
      </c>
      <c r="M77" s="49">
        <v>0.9052</v>
      </c>
      <c r="N77" s="49">
        <v>0.96989999999999998</v>
      </c>
      <c r="O77" s="49">
        <v>0.9224</v>
      </c>
      <c r="P77" s="49">
        <v>0.86609999999999998</v>
      </c>
      <c r="Q77" s="49">
        <v>0.96160000000000001</v>
      </c>
      <c r="R77" s="49">
        <v>0.9476</v>
      </c>
      <c r="S77" s="49">
        <v>0.95299999999999996</v>
      </c>
      <c r="T77" s="49">
        <v>0.91790000000000005</v>
      </c>
      <c r="U77" s="49">
        <v>0.80810000000000004</v>
      </c>
      <c r="V77" s="50">
        <v>0.93730000000000002</v>
      </c>
    </row>
    <row r="78" spans="1:22" ht="16.5" thickBot="1" x14ac:dyDescent="0.3">
      <c r="A78" s="51" t="s">
        <v>26</v>
      </c>
      <c r="B78" s="52">
        <v>0.67510000000000003</v>
      </c>
      <c r="C78" s="52">
        <v>0.89500000000000002</v>
      </c>
      <c r="D78" s="52">
        <v>0.70789999999999997</v>
      </c>
      <c r="E78" s="52">
        <v>0.85719999999999996</v>
      </c>
      <c r="F78" s="52">
        <v>0.7621</v>
      </c>
      <c r="G78" s="52">
        <v>0.67459999999999998</v>
      </c>
      <c r="H78" s="52">
        <v>0.78239999999999998</v>
      </c>
      <c r="I78" s="52">
        <v>0.79139999999999999</v>
      </c>
      <c r="J78" s="52">
        <v>0.7319</v>
      </c>
      <c r="K78" s="52">
        <v>0.87990000000000002</v>
      </c>
      <c r="L78" s="52">
        <v>0.752</v>
      </c>
      <c r="M78" s="52">
        <v>0.73089999999999999</v>
      </c>
      <c r="N78" s="52">
        <v>0.86029999999999995</v>
      </c>
      <c r="O78" s="52">
        <v>0.74639999999999995</v>
      </c>
      <c r="P78" s="52">
        <v>0.6542</v>
      </c>
      <c r="Q78" s="52">
        <v>0.83860000000000001</v>
      </c>
      <c r="R78" s="52">
        <v>0.80630000000000002</v>
      </c>
      <c r="S78" s="52">
        <v>0.83860000000000001</v>
      </c>
      <c r="T78" s="52">
        <v>0.74960000000000004</v>
      </c>
      <c r="U78" s="52">
        <v>0.58279999999999998</v>
      </c>
      <c r="V78" s="53">
        <v>0.78690000000000004</v>
      </c>
    </row>
    <row r="79" spans="1:22" x14ac:dyDescent="0.25">
      <c r="A79" s="68" t="s">
        <v>76</v>
      </c>
      <c r="B79" s="54">
        <f>PRODUCT(B75:V75)</f>
        <v>1.2183302396966205E-25</v>
      </c>
      <c r="C79" s="54"/>
      <c r="J79" s="55"/>
    </row>
    <row r="80" spans="1:22" x14ac:dyDescent="0.25">
      <c r="A80" s="68" t="s">
        <v>78</v>
      </c>
      <c r="B80" s="60">
        <f>1-(PRODUCT(1-B76,1-C76,1-D76,1-E76,1-F76,1-G76,1-H76,1-I76,1-J76,1-K76,1-L76,1-M76,1-N76,1-O76,1-P76,1-Q76,1-R76,1-S76,1-T76,1-U76,1-V76))</f>
        <v>0.99999999036937015</v>
      </c>
      <c r="C80" s="60"/>
      <c r="J80" s="61"/>
    </row>
  </sheetData>
  <mergeCells count="2">
    <mergeCell ref="B79:C79"/>
    <mergeCell ref="B80:C8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workbookViewId="0"/>
  </sheetViews>
  <sheetFormatPr defaultColWidth="11.42578125" defaultRowHeight="15.75" x14ac:dyDescent="0.25"/>
  <cols>
    <col min="1" max="1" width="11.42578125" style="40"/>
    <col min="2" max="22" width="11.42578125" style="72"/>
    <col min="23" max="16384" width="11.42578125" style="39"/>
  </cols>
  <sheetData>
    <row r="1" spans="1:22" x14ac:dyDescent="0.25">
      <c r="A1" s="1" t="s">
        <v>148</v>
      </c>
    </row>
    <row r="2" spans="1:22" ht="16.5" thickBot="1" x14ac:dyDescent="0.3"/>
    <row r="3" spans="1:22" x14ac:dyDescent="0.25">
      <c r="A3" s="69" t="s">
        <v>143</v>
      </c>
      <c r="B3" s="70" t="s">
        <v>0</v>
      </c>
      <c r="C3" s="70" t="s">
        <v>7</v>
      </c>
      <c r="D3" s="70" t="s">
        <v>10</v>
      </c>
      <c r="E3" s="70" t="s">
        <v>9</v>
      </c>
      <c r="F3" s="70" t="s">
        <v>11</v>
      </c>
      <c r="G3" s="70" t="s">
        <v>12</v>
      </c>
      <c r="H3" s="70" t="s">
        <v>13</v>
      </c>
      <c r="I3" s="70" t="s">
        <v>14</v>
      </c>
      <c r="J3" s="70" t="s">
        <v>1</v>
      </c>
      <c r="K3" s="70" t="s">
        <v>2</v>
      </c>
      <c r="L3" s="70" t="s">
        <v>3</v>
      </c>
      <c r="M3" s="70" t="s">
        <v>4</v>
      </c>
      <c r="N3" s="70" t="s">
        <v>5</v>
      </c>
      <c r="O3" s="70" t="s">
        <v>6</v>
      </c>
      <c r="P3" s="70" t="s">
        <v>8</v>
      </c>
      <c r="Q3" s="70" t="s">
        <v>15</v>
      </c>
      <c r="R3" s="70" t="s">
        <v>141</v>
      </c>
      <c r="S3" s="70" t="s">
        <v>142</v>
      </c>
      <c r="T3" s="70" t="s">
        <v>16</v>
      </c>
      <c r="U3" s="70" t="s">
        <v>17</v>
      </c>
      <c r="V3" s="71" t="s">
        <v>18</v>
      </c>
    </row>
    <row r="4" spans="1:22" x14ac:dyDescent="0.25">
      <c r="A4" s="41">
        <v>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>
        <v>9.8999999999999999E-4</v>
      </c>
      <c r="M4" s="42"/>
      <c r="N4" s="42"/>
      <c r="O4" s="42"/>
      <c r="P4" s="42"/>
      <c r="Q4" s="42"/>
      <c r="R4" s="42">
        <v>0</v>
      </c>
      <c r="S4" s="42">
        <v>7.4630000000000002E-2</v>
      </c>
      <c r="T4" s="42">
        <v>0</v>
      </c>
      <c r="U4" s="42"/>
      <c r="V4" s="43"/>
    </row>
    <row r="5" spans="1:22" x14ac:dyDescent="0.25">
      <c r="A5" s="41">
        <v>6</v>
      </c>
      <c r="B5" s="42"/>
      <c r="C5" s="42"/>
      <c r="D5" s="42"/>
      <c r="E5" s="42"/>
      <c r="F5" s="42"/>
      <c r="G5" s="42"/>
      <c r="H5" s="42">
        <v>0</v>
      </c>
      <c r="I5" s="42"/>
      <c r="J5" s="42">
        <v>0</v>
      </c>
      <c r="K5" s="42"/>
      <c r="L5" s="42"/>
      <c r="M5" s="42"/>
      <c r="N5" s="42"/>
      <c r="O5" s="42">
        <v>0</v>
      </c>
      <c r="P5" s="42"/>
      <c r="Q5" s="42"/>
      <c r="R5" s="42">
        <v>2.0200000000000001E-3</v>
      </c>
      <c r="S5" s="42">
        <v>2.49E-3</v>
      </c>
      <c r="T5" s="42">
        <v>0.11952</v>
      </c>
      <c r="U5" s="42">
        <v>0</v>
      </c>
      <c r="V5" s="43"/>
    </row>
    <row r="6" spans="1:22" x14ac:dyDescent="0.25">
      <c r="A6" s="41">
        <v>7</v>
      </c>
      <c r="B6" s="42">
        <v>7.9399999999999991E-3</v>
      </c>
      <c r="C6" s="42">
        <v>0</v>
      </c>
      <c r="D6" s="42"/>
      <c r="E6" s="42"/>
      <c r="F6" s="42"/>
      <c r="G6" s="42">
        <v>2.0830000000000001E-2</v>
      </c>
      <c r="H6" s="42">
        <v>9.8999999999999999E-4</v>
      </c>
      <c r="I6" s="42"/>
      <c r="J6" s="42">
        <v>0</v>
      </c>
      <c r="K6" s="42"/>
      <c r="L6" s="42">
        <v>0</v>
      </c>
      <c r="M6" s="42">
        <v>9.8999999999999999E-4</v>
      </c>
      <c r="N6" s="42"/>
      <c r="O6" s="42">
        <v>0</v>
      </c>
      <c r="P6" s="42"/>
      <c r="Q6" s="42"/>
      <c r="R6" s="42">
        <v>1.4109999999999999E-2</v>
      </c>
      <c r="S6" s="42">
        <v>1.24E-3</v>
      </c>
      <c r="T6" s="42">
        <v>0.30179</v>
      </c>
      <c r="U6" s="42">
        <v>0</v>
      </c>
      <c r="V6" s="43"/>
    </row>
    <row r="7" spans="1:22" x14ac:dyDescent="0.25">
      <c r="A7" s="41" t="s">
        <v>27</v>
      </c>
      <c r="B7" s="42">
        <v>0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3"/>
    </row>
    <row r="8" spans="1:22" x14ac:dyDescent="0.25">
      <c r="A8" s="41">
        <v>8</v>
      </c>
      <c r="B8" s="42">
        <v>9.8999999999999999E-4</v>
      </c>
      <c r="C8" s="42">
        <v>0</v>
      </c>
      <c r="D8" s="42">
        <v>0</v>
      </c>
      <c r="E8" s="42">
        <v>0</v>
      </c>
      <c r="F8" s="42"/>
      <c r="G8" s="42">
        <v>3.9699999999999996E-3</v>
      </c>
      <c r="H8" s="42">
        <v>0.14087</v>
      </c>
      <c r="I8" s="42">
        <v>9.8999999999999999E-4</v>
      </c>
      <c r="J8" s="42">
        <v>1.98E-3</v>
      </c>
      <c r="K8" s="42"/>
      <c r="L8" s="42">
        <v>0.29959999999999998</v>
      </c>
      <c r="M8" s="42">
        <v>1.98E-3</v>
      </c>
      <c r="N8" s="42"/>
      <c r="O8" s="42">
        <v>0</v>
      </c>
      <c r="P8" s="42">
        <v>0</v>
      </c>
      <c r="Q8" s="42"/>
      <c r="R8" s="42">
        <v>5.3429999999999998E-2</v>
      </c>
      <c r="S8" s="42">
        <v>1.617E-2</v>
      </c>
      <c r="T8" s="42">
        <v>5.876E-2</v>
      </c>
      <c r="U8" s="42">
        <v>0.54266000000000003</v>
      </c>
      <c r="V8" s="43"/>
    </row>
    <row r="9" spans="1:22" x14ac:dyDescent="0.25">
      <c r="A9" s="41" t="s">
        <v>28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>
        <v>1E-3</v>
      </c>
      <c r="U9" s="42"/>
      <c r="V9" s="43"/>
    </row>
    <row r="10" spans="1:22" x14ac:dyDescent="0.25">
      <c r="A10" s="41">
        <v>9</v>
      </c>
      <c r="B10" s="42">
        <v>5.0599999999999999E-2</v>
      </c>
      <c r="C10" s="42">
        <v>9.8999999999999999E-4</v>
      </c>
      <c r="D10" s="42">
        <v>0</v>
      </c>
      <c r="E10" s="42"/>
      <c r="F10" s="42">
        <v>0</v>
      </c>
      <c r="G10" s="42">
        <v>7.5399999999999995E-2</v>
      </c>
      <c r="H10" s="42">
        <v>5.5559999999999998E-2</v>
      </c>
      <c r="I10" s="42">
        <v>2.98E-3</v>
      </c>
      <c r="J10" s="42">
        <v>0</v>
      </c>
      <c r="K10" s="42"/>
      <c r="L10" s="42">
        <v>0.12598999999999999</v>
      </c>
      <c r="M10" s="42">
        <v>0.26290000000000002</v>
      </c>
      <c r="N10" s="42">
        <v>0</v>
      </c>
      <c r="O10" s="42">
        <v>1.98E-3</v>
      </c>
      <c r="P10" s="42">
        <v>0</v>
      </c>
      <c r="Q10" s="42"/>
      <c r="R10" s="42">
        <v>0.33972000000000002</v>
      </c>
      <c r="S10" s="42">
        <v>1.617E-2</v>
      </c>
      <c r="T10" s="42">
        <v>0.43326999999999999</v>
      </c>
      <c r="U10" s="42">
        <v>0.11210000000000001</v>
      </c>
      <c r="V10" s="43"/>
    </row>
    <row r="11" spans="1:22" x14ac:dyDescent="0.25">
      <c r="A11" s="41" t="s">
        <v>29</v>
      </c>
      <c r="B11" s="42"/>
      <c r="C11" s="42"/>
      <c r="D11" s="42">
        <v>2.579E-2</v>
      </c>
      <c r="E11" s="42"/>
      <c r="F11" s="42"/>
      <c r="G11" s="42"/>
      <c r="H11" s="42">
        <v>7.9399999999999991E-3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>
        <v>0</v>
      </c>
      <c r="V11" s="43"/>
    </row>
    <row r="12" spans="1:22" x14ac:dyDescent="0.25">
      <c r="A12" s="41" t="s">
        <v>30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>
        <v>5.0799999999999998E-2</v>
      </c>
      <c r="U12" s="42"/>
      <c r="V12" s="43"/>
    </row>
    <row r="13" spans="1:22" x14ac:dyDescent="0.25">
      <c r="A13" s="41">
        <v>10</v>
      </c>
      <c r="B13" s="42">
        <v>0.23909</v>
      </c>
      <c r="C13" s="42">
        <v>1.99E-3</v>
      </c>
      <c r="D13" s="42">
        <v>0.22520000000000001</v>
      </c>
      <c r="E13" s="42"/>
      <c r="F13" s="42"/>
      <c r="G13" s="42">
        <v>0.21825</v>
      </c>
      <c r="H13" s="42">
        <v>0.16270000000000001</v>
      </c>
      <c r="I13" s="42">
        <v>0.12995999999999999</v>
      </c>
      <c r="J13" s="42">
        <v>0</v>
      </c>
      <c r="K13" s="42"/>
      <c r="L13" s="42">
        <v>0.13789999999999999</v>
      </c>
      <c r="M13" s="42">
        <v>0.13492000000000001</v>
      </c>
      <c r="N13" s="42">
        <v>1E-3</v>
      </c>
      <c r="O13" s="42">
        <v>0</v>
      </c>
      <c r="P13" s="42">
        <v>0</v>
      </c>
      <c r="Q13" s="42"/>
      <c r="R13" s="42">
        <v>0.14918999999999999</v>
      </c>
      <c r="S13" s="42">
        <v>8.3330000000000001E-2</v>
      </c>
      <c r="T13" s="42">
        <v>3.3860000000000001E-2</v>
      </c>
      <c r="U13" s="42">
        <v>2.877E-2</v>
      </c>
      <c r="V13" s="43">
        <v>0</v>
      </c>
    </row>
    <row r="14" spans="1:22" x14ac:dyDescent="0.25">
      <c r="A14" s="41" t="s">
        <v>31</v>
      </c>
      <c r="B14" s="42"/>
      <c r="C14" s="42"/>
      <c r="D14" s="42">
        <v>1.98E-3</v>
      </c>
      <c r="E14" s="42"/>
      <c r="F14" s="42"/>
      <c r="G14" s="42"/>
      <c r="H14" s="42">
        <v>1.98E-3</v>
      </c>
      <c r="I14" s="42"/>
      <c r="J14" s="42"/>
      <c r="K14" s="42"/>
      <c r="L14" s="42"/>
      <c r="M14" s="42"/>
      <c r="N14" s="42">
        <v>0</v>
      </c>
      <c r="O14" s="42"/>
      <c r="P14" s="42"/>
      <c r="Q14" s="42"/>
      <c r="R14" s="42"/>
      <c r="S14" s="42"/>
      <c r="T14" s="42"/>
      <c r="U14" s="42"/>
      <c r="V14" s="43"/>
    </row>
    <row r="15" spans="1:22" x14ac:dyDescent="0.25">
      <c r="A15" s="41" t="s">
        <v>32</v>
      </c>
      <c r="B15" s="42">
        <v>0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>
        <v>0</v>
      </c>
      <c r="U15" s="42"/>
      <c r="V15" s="43"/>
    </row>
    <row r="16" spans="1:22" x14ac:dyDescent="0.25">
      <c r="A16" s="41">
        <v>11</v>
      </c>
      <c r="B16" s="42">
        <v>0.23710000000000001</v>
      </c>
      <c r="C16" s="42">
        <v>6.2619999999999995E-2</v>
      </c>
      <c r="D16" s="42">
        <v>0.30753999999999998</v>
      </c>
      <c r="E16" s="42"/>
      <c r="F16" s="42">
        <v>0</v>
      </c>
      <c r="G16" s="42">
        <v>0.30357000000000001</v>
      </c>
      <c r="H16" s="42">
        <v>0.35316999999999998</v>
      </c>
      <c r="I16" s="42">
        <v>0.10614999999999999</v>
      </c>
      <c r="J16" s="42">
        <v>1.98E-3</v>
      </c>
      <c r="K16" s="42"/>
      <c r="L16" s="42">
        <v>0.22619</v>
      </c>
      <c r="M16" s="42">
        <v>0.26984000000000002</v>
      </c>
      <c r="N16" s="42">
        <v>2.99E-3</v>
      </c>
      <c r="O16" s="42">
        <v>2.98E-3</v>
      </c>
      <c r="P16" s="42">
        <v>0.16864999999999999</v>
      </c>
      <c r="Q16" s="42"/>
      <c r="R16" s="42">
        <v>0.15826999999999999</v>
      </c>
      <c r="S16" s="42">
        <v>0.33831</v>
      </c>
      <c r="T16" s="42">
        <v>1E-3</v>
      </c>
      <c r="U16" s="42">
        <v>0.29464000000000001</v>
      </c>
      <c r="V16" s="43">
        <v>0</v>
      </c>
    </row>
    <row r="17" spans="1:22" x14ac:dyDescent="0.25">
      <c r="A17" s="41" t="s">
        <v>33</v>
      </c>
      <c r="B17" s="42"/>
      <c r="C17" s="42"/>
      <c r="D17" s="42"/>
      <c r="E17" s="42"/>
      <c r="F17" s="42"/>
      <c r="G17" s="42"/>
      <c r="H17" s="42">
        <v>0</v>
      </c>
      <c r="I17" s="42"/>
      <c r="J17" s="42"/>
      <c r="K17" s="42"/>
      <c r="L17" s="42">
        <v>0</v>
      </c>
      <c r="M17" s="42"/>
      <c r="N17" s="42"/>
      <c r="O17" s="42">
        <v>0</v>
      </c>
      <c r="P17" s="42"/>
      <c r="Q17" s="42"/>
      <c r="R17" s="42"/>
      <c r="S17" s="42"/>
      <c r="T17" s="42"/>
      <c r="U17" s="42"/>
      <c r="V17" s="43"/>
    </row>
    <row r="18" spans="1:22" x14ac:dyDescent="0.25">
      <c r="A18" s="41" t="s">
        <v>34</v>
      </c>
      <c r="B18" s="42"/>
      <c r="C18" s="42"/>
      <c r="D18" s="42">
        <v>6.8449999999999997E-2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3"/>
    </row>
    <row r="19" spans="1:22" x14ac:dyDescent="0.25">
      <c r="A19" s="41" t="s">
        <v>35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>
        <v>1.01E-3</v>
      </c>
      <c r="S19" s="42"/>
      <c r="T19" s="42"/>
      <c r="U19" s="42"/>
      <c r="V19" s="43"/>
    </row>
    <row r="20" spans="1:22" x14ac:dyDescent="0.25">
      <c r="A20" s="41">
        <v>12</v>
      </c>
      <c r="B20" s="42">
        <v>0.35913</v>
      </c>
      <c r="C20" s="42">
        <v>4.6719999999999998E-2</v>
      </c>
      <c r="D20" s="42">
        <v>0.19345000000000001</v>
      </c>
      <c r="E20" s="42"/>
      <c r="F20" s="42">
        <v>9.8999999999999999E-4</v>
      </c>
      <c r="G20" s="42">
        <v>0.22619</v>
      </c>
      <c r="H20" s="42">
        <v>0.23016</v>
      </c>
      <c r="I20" s="42">
        <v>0.13294</v>
      </c>
      <c r="J20" s="42">
        <v>6.4479999999999996E-2</v>
      </c>
      <c r="K20" s="42"/>
      <c r="L20" s="42">
        <v>0.16270000000000001</v>
      </c>
      <c r="M20" s="42">
        <v>0.22222</v>
      </c>
      <c r="N20" s="42">
        <v>5.6890000000000003E-2</v>
      </c>
      <c r="O20" s="42">
        <v>4.0669999999999998E-2</v>
      </c>
      <c r="P20" s="42">
        <v>2.98E-3</v>
      </c>
      <c r="Q20" s="42"/>
      <c r="R20" s="42">
        <v>0.12903000000000001</v>
      </c>
      <c r="S20" s="42">
        <v>0.22388</v>
      </c>
      <c r="T20" s="42"/>
      <c r="U20" s="42">
        <v>2.0830000000000001E-2</v>
      </c>
      <c r="V20" s="43">
        <v>0</v>
      </c>
    </row>
    <row r="21" spans="1:22" x14ac:dyDescent="0.25">
      <c r="A21" s="41" t="s">
        <v>36</v>
      </c>
      <c r="B21" s="42"/>
      <c r="C21" s="42"/>
      <c r="D21" s="42"/>
      <c r="E21" s="42"/>
      <c r="F21" s="42"/>
      <c r="G21" s="42"/>
      <c r="H21" s="42">
        <v>0</v>
      </c>
      <c r="I21" s="42"/>
      <c r="J21" s="42"/>
      <c r="K21" s="42"/>
      <c r="L21" s="42"/>
      <c r="M21" s="42"/>
      <c r="N21" s="42">
        <v>0</v>
      </c>
      <c r="O21" s="42">
        <v>6.94E-3</v>
      </c>
      <c r="P21" s="42"/>
      <c r="Q21" s="42"/>
      <c r="R21" s="42"/>
      <c r="S21" s="42"/>
      <c r="T21" s="42"/>
      <c r="U21" s="42"/>
      <c r="V21" s="43"/>
    </row>
    <row r="22" spans="1:22" x14ac:dyDescent="0.25">
      <c r="A22" s="41" t="s">
        <v>37</v>
      </c>
      <c r="B22" s="42"/>
      <c r="C22" s="42"/>
      <c r="D22" s="42">
        <v>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>
        <v>9.8999999999999999E-4</v>
      </c>
      <c r="P22" s="42"/>
      <c r="Q22" s="42"/>
      <c r="R22" s="42"/>
      <c r="S22" s="42"/>
      <c r="T22" s="42"/>
      <c r="U22" s="42"/>
      <c r="V22" s="43"/>
    </row>
    <row r="23" spans="1:22" x14ac:dyDescent="0.25">
      <c r="A23" s="41">
        <v>13</v>
      </c>
      <c r="B23" s="42">
        <v>8.6309999999999998E-2</v>
      </c>
      <c r="C23" s="42">
        <v>9.443E-2</v>
      </c>
      <c r="D23" s="42">
        <v>2.1829999999999999E-2</v>
      </c>
      <c r="E23" s="42">
        <v>0</v>
      </c>
      <c r="F23" s="42">
        <v>9.8999999999999999E-4</v>
      </c>
      <c r="G23" s="42">
        <v>0.14187</v>
      </c>
      <c r="H23" s="42">
        <v>3.968E-2</v>
      </c>
      <c r="I23" s="42">
        <v>0.21032000000000001</v>
      </c>
      <c r="J23" s="42">
        <v>0.34226000000000001</v>
      </c>
      <c r="K23" s="42"/>
      <c r="L23" s="42">
        <v>3.4720000000000001E-2</v>
      </c>
      <c r="M23" s="42">
        <v>9.425E-2</v>
      </c>
      <c r="N23" s="42">
        <v>0.17166000000000001</v>
      </c>
      <c r="O23" s="42">
        <v>0.25794</v>
      </c>
      <c r="P23" s="42">
        <v>3.9699999999999996E-3</v>
      </c>
      <c r="Q23" s="42"/>
      <c r="R23" s="42">
        <v>0.1129</v>
      </c>
      <c r="S23" s="42">
        <v>7.3380000000000001E-2</v>
      </c>
      <c r="T23" s="42"/>
      <c r="U23" s="42">
        <v>0</v>
      </c>
      <c r="V23" s="43">
        <v>0</v>
      </c>
    </row>
    <row r="24" spans="1:22" x14ac:dyDescent="0.25">
      <c r="A24" s="41" t="s">
        <v>38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>
        <v>0</v>
      </c>
      <c r="O24" s="42">
        <v>3.175E-2</v>
      </c>
      <c r="P24" s="42"/>
      <c r="Q24" s="42"/>
      <c r="R24" s="42"/>
      <c r="S24" s="42"/>
      <c r="T24" s="42"/>
      <c r="U24" s="42"/>
      <c r="V24" s="43"/>
    </row>
    <row r="25" spans="1:22" x14ac:dyDescent="0.25">
      <c r="A25" s="41" t="s">
        <v>39</v>
      </c>
      <c r="B25" s="42"/>
      <c r="C25" s="42"/>
      <c r="D25" s="42">
        <v>0</v>
      </c>
      <c r="E25" s="42"/>
      <c r="F25" s="42"/>
      <c r="G25" s="42"/>
      <c r="H25" s="42"/>
      <c r="I25" s="42"/>
      <c r="J25" s="42">
        <v>9.8999999999999999E-4</v>
      </c>
      <c r="K25" s="42"/>
      <c r="L25" s="42"/>
      <c r="M25" s="42"/>
      <c r="N25" s="42">
        <v>0</v>
      </c>
      <c r="O25" s="42"/>
      <c r="P25" s="42"/>
      <c r="Q25" s="42"/>
      <c r="R25" s="42"/>
      <c r="S25" s="42"/>
      <c r="T25" s="42"/>
      <c r="U25" s="42"/>
      <c r="V25" s="43"/>
    </row>
    <row r="26" spans="1:22" x14ac:dyDescent="0.25">
      <c r="A26" s="41">
        <v>14</v>
      </c>
      <c r="B26" s="42">
        <v>1.389E-2</v>
      </c>
      <c r="C26" s="42">
        <v>9.2450000000000004E-2</v>
      </c>
      <c r="D26" s="42">
        <v>0.14187</v>
      </c>
      <c r="E26" s="42">
        <v>0</v>
      </c>
      <c r="F26" s="42">
        <v>3.968E-2</v>
      </c>
      <c r="G26" s="42">
        <v>7.9399999999999991E-3</v>
      </c>
      <c r="H26" s="42">
        <v>6.94E-3</v>
      </c>
      <c r="I26" s="42">
        <v>0.17360999999999999</v>
      </c>
      <c r="J26" s="42">
        <v>0.25892999999999999</v>
      </c>
      <c r="K26" s="42">
        <v>0</v>
      </c>
      <c r="L26" s="42">
        <v>1.091E-2</v>
      </c>
      <c r="M26" s="42">
        <v>1.29E-2</v>
      </c>
      <c r="N26" s="42">
        <v>0.18862000000000001</v>
      </c>
      <c r="O26" s="42">
        <v>0.28671000000000002</v>
      </c>
      <c r="P26" s="42">
        <v>2.282E-2</v>
      </c>
      <c r="Q26" s="42"/>
      <c r="R26" s="42">
        <v>2.7220000000000001E-2</v>
      </c>
      <c r="S26" s="42">
        <v>0.10448</v>
      </c>
      <c r="T26" s="42"/>
      <c r="U26" s="42">
        <v>9.8999999999999999E-4</v>
      </c>
      <c r="V26" s="43">
        <v>0.24404999999999999</v>
      </c>
    </row>
    <row r="27" spans="1:22" x14ac:dyDescent="0.25">
      <c r="A27" s="41" t="s">
        <v>40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>
        <v>0</v>
      </c>
      <c r="O27" s="42">
        <v>0.11607000000000001</v>
      </c>
      <c r="P27" s="42"/>
      <c r="Q27" s="42"/>
      <c r="R27" s="42">
        <v>0</v>
      </c>
      <c r="S27" s="42"/>
      <c r="T27" s="42"/>
      <c r="U27" s="42"/>
      <c r="V27" s="43"/>
    </row>
    <row r="28" spans="1:22" x14ac:dyDescent="0.25">
      <c r="A28" s="41" t="s">
        <v>41</v>
      </c>
      <c r="B28" s="42"/>
      <c r="C28" s="42">
        <v>0</v>
      </c>
      <c r="D28" s="42">
        <v>0</v>
      </c>
      <c r="E28" s="42"/>
      <c r="F28" s="42"/>
      <c r="G28" s="42"/>
      <c r="H28" s="42"/>
      <c r="I28" s="42"/>
      <c r="J28" s="42"/>
      <c r="K28" s="42"/>
      <c r="L28" s="42"/>
      <c r="M28" s="42"/>
      <c r="N28" s="42">
        <v>0</v>
      </c>
      <c r="O28" s="42"/>
      <c r="P28" s="42"/>
      <c r="Q28" s="42"/>
      <c r="R28" s="42"/>
      <c r="S28" s="42"/>
      <c r="T28" s="42"/>
      <c r="U28" s="42"/>
      <c r="V28" s="43"/>
    </row>
    <row r="29" spans="1:22" x14ac:dyDescent="0.25">
      <c r="A29" s="41" t="s">
        <v>42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3">
        <v>0</v>
      </c>
    </row>
    <row r="30" spans="1:22" x14ac:dyDescent="0.25">
      <c r="A30" s="41">
        <v>15</v>
      </c>
      <c r="B30" s="42">
        <v>4.96E-3</v>
      </c>
      <c r="C30" s="42">
        <v>0.27237</v>
      </c>
      <c r="D30" s="42">
        <v>1.389E-2</v>
      </c>
      <c r="E30" s="42">
        <v>0</v>
      </c>
      <c r="F30" s="42">
        <v>0.33234000000000002</v>
      </c>
      <c r="G30" s="42">
        <v>1.98E-3</v>
      </c>
      <c r="H30" s="42"/>
      <c r="I30" s="42">
        <v>0.15972</v>
      </c>
      <c r="J30" s="42">
        <v>0.22917000000000001</v>
      </c>
      <c r="K30" s="42">
        <v>1.29E-2</v>
      </c>
      <c r="L30" s="42">
        <v>9.8999999999999999E-4</v>
      </c>
      <c r="M30" s="42">
        <v>0</v>
      </c>
      <c r="N30" s="42">
        <v>0.1986</v>
      </c>
      <c r="O30" s="42">
        <v>7.0440000000000003E-2</v>
      </c>
      <c r="P30" s="42">
        <v>0.34523999999999999</v>
      </c>
      <c r="Q30" s="42">
        <v>9.8999999999999999E-4</v>
      </c>
      <c r="R30" s="42">
        <v>1.008E-2</v>
      </c>
      <c r="S30" s="42">
        <v>4.6019999999999998E-2</v>
      </c>
      <c r="T30" s="42"/>
      <c r="U30" s="42"/>
      <c r="V30" s="43">
        <v>2.7779999999999999E-2</v>
      </c>
    </row>
    <row r="31" spans="1:22" x14ac:dyDescent="0.25">
      <c r="A31" s="41" t="s">
        <v>43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>
        <v>9.8999999999999999E-4</v>
      </c>
      <c r="P31" s="42"/>
      <c r="Q31" s="42"/>
      <c r="R31" s="42"/>
      <c r="S31" s="42"/>
      <c r="T31" s="42"/>
      <c r="U31" s="42"/>
      <c r="V31" s="43"/>
    </row>
    <row r="32" spans="1:22" x14ac:dyDescent="0.25">
      <c r="A32" s="41" t="s">
        <v>44</v>
      </c>
      <c r="B32" s="42"/>
      <c r="C32" s="42"/>
      <c r="D32" s="42"/>
      <c r="E32" s="42"/>
      <c r="F32" s="42">
        <v>0</v>
      </c>
      <c r="G32" s="42"/>
      <c r="H32" s="42"/>
      <c r="I32" s="42"/>
      <c r="J32" s="42"/>
      <c r="K32" s="42"/>
      <c r="L32" s="42"/>
      <c r="M32" s="42"/>
      <c r="N32" s="42">
        <v>0</v>
      </c>
      <c r="O32" s="42">
        <v>0.13591</v>
      </c>
      <c r="P32" s="42"/>
      <c r="Q32" s="42"/>
      <c r="R32" s="42"/>
      <c r="S32" s="42"/>
      <c r="T32" s="42"/>
      <c r="U32" s="42"/>
      <c r="V32" s="43"/>
    </row>
    <row r="33" spans="1:22" x14ac:dyDescent="0.25">
      <c r="A33" s="41" t="s">
        <v>45</v>
      </c>
      <c r="B33" s="42"/>
      <c r="C33" s="42">
        <v>9.8999999999999999E-4</v>
      </c>
      <c r="D33" s="42"/>
      <c r="E33" s="42"/>
      <c r="F33" s="42"/>
      <c r="G33" s="42"/>
      <c r="H33" s="42"/>
      <c r="I33" s="42"/>
      <c r="J33" s="42">
        <v>0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3"/>
    </row>
    <row r="34" spans="1:22" x14ac:dyDescent="0.25">
      <c r="A34" s="41" t="s">
        <v>46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3">
        <v>0</v>
      </c>
    </row>
    <row r="35" spans="1:22" x14ac:dyDescent="0.25">
      <c r="A35" s="41">
        <v>16</v>
      </c>
      <c r="B35" s="42"/>
      <c r="C35" s="42">
        <v>0.23061999999999999</v>
      </c>
      <c r="D35" s="42">
        <v>0</v>
      </c>
      <c r="E35" s="42">
        <v>1.29E-2</v>
      </c>
      <c r="F35" s="42">
        <v>0.34127000000000002</v>
      </c>
      <c r="G35" s="42">
        <v>0</v>
      </c>
      <c r="H35" s="42"/>
      <c r="I35" s="42">
        <v>7.1429999999999993E-2</v>
      </c>
      <c r="J35" s="42">
        <v>8.3330000000000001E-2</v>
      </c>
      <c r="K35" s="42">
        <v>5.9500000000000004E-3</v>
      </c>
      <c r="L35" s="42"/>
      <c r="M35" s="42"/>
      <c r="N35" s="42">
        <v>0.14471000000000001</v>
      </c>
      <c r="O35" s="42">
        <v>1.091E-2</v>
      </c>
      <c r="P35" s="42">
        <v>0.23512</v>
      </c>
      <c r="Q35" s="42">
        <v>2.98E-3</v>
      </c>
      <c r="R35" s="42">
        <v>3.0200000000000001E-3</v>
      </c>
      <c r="S35" s="42">
        <v>1.9900000000000001E-2</v>
      </c>
      <c r="T35" s="42"/>
      <c r="U35" s="42"/>
      <c r="V35" s="43">
        <v>0.15773999999999999</v>
      </c>
    </row>
    <row r="36" spans="1:22" x14ac:dyDescent="0.25">
      <c r="A36" s="41" t="s">
        <v>47</v>
      </c>
      <c r="B36" s="42"/>
      <c r="C36" s="42"/>
      <c r="D36" s="42"/>
      <c r="E36" s="42"/>
      <c r="F36" s="42">
        <v>0</v>
      </c>
      <c r="G36" s="42"/>
      <c r="H36" s="42"/>
      <c r="I36" s="42"/>
      <c r="J36" s="42"/>
      <c r="K36" s="42">
        <v>0</v>
      </c>
      <c r="L36" s="42"/>
      <c r="M36" s="42"/>
      <c r="N36" s="42"/>
      <c r="O36" s="42">
        <v>2.9760000000000002E-2</v>
      </c>
      <c r="P36" s="42"/>
      <c r="Q36" s="42">
        <v>0</v>
      </c>
      <c r="R36" s="42"/>
      <c r="S36" s="42"/>
      <c r="T36" s="42"/>
      <c r="U36" s="42"/>
      <c r="V36" s="43"/>
    </row>
    <row r="37" spans="1:22" x14ac:dyDescent="0.25">
      <c r="A37" s="41" t="s">
        <v>48</v>
      </c>
      <c r="B37" s="42"/>
      <c r="C37" s="42">
        <v>9.9399999999999992E-3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>
        <v>0</v>
      </c>
      <c r="O37" s="42"/>
      <c r="P37" s="42"/>
      <c r="Q37" s="42"/>
      <c r="R37" s="42"/>
      <c r="S37" s="42"/>
      <c r="T37" s="42"/>
      <c r="U37" s="42"/>
      <c r="V37" s="43"/>
    </row>
    <row r="38" spans="1:22" x14ac:dyDescent="0.25">
      <c r="A38" s="41">
        <v>17</v>
      </c>
      <c r="B38" s="42"/>
      <c r="C38" s="42">
        <v>6.6600000000000006E-2</v>
      </c>
      <c r="D38" s="42"/>
      <c r="E38" s="42">
        <v>9.8210000000000006E-2</v>
      </c>
      <c r="F38" s="42">
        <v>0.21925</v>
      </c>
      <c r="G38" s="42"/>
      <c r="H38" s="42"/>
      <c r="I38" s="42">
        <v>8.9300000000000004E-3</v>
      </c>
      <c r="J38" s="42">
        <v>1.5869999999999999E-2</v>
      </c>
      <c r="K38" s="42">
        <v>7.3410000000000003E-2</v>
      </c>
      <c r="L38" s="42"/>
      <c r="M38" s="42"/>
      <c r="N38" s="42">
        <v>7.0860000000000006E-2</v>
      </c>
      <c r="O38" s="42">
        <v>0</v>
      </c>
      <c r="P38" s="42">
        <v>0.19345000000000001</v>
      </c>
      <c r="Q38" s="42">
        <v>0</v>
      </c>
      <c r="R38" s="42">
        <v>0</v>
      </c>
      <c r="S38" s="42">
        <v>0</v>
      </c>
      <c r="T38" s="42"/>
      <c r="U38" s="42"/>
      <c r="V38" s="43">
        <v>0.24504000000000001</v>
      </c>
    </row>
    <row r="39" spans="1:22" x14ac:dyDescent="0.25">
      <c r="A39" s="41" t="s">
        <v>49</v>
      </c>
      <c r="B39" s="42"/>
      <c r="C39" s="42">
        <v>0</v>
      </c>
      <c r="D39" s="42"/>
      <c r="E39" s="42"/>
      <c r="F39" s="42"/>
      <c r="G39" s="42"/>
      <c r="H39" s="42"/>
      <c r="I39" s="42"/>
      <c r="J39" s="42"/>
      <c r="K39" s="42">
        <v>0</v>
      </c>
      <c r="L39" s="42"/>
      <c r="M39" s="42"/>
      <c r="N39" s="42"/>
      <c r="O39" s="42">
        <v>4.96E-3</v>
      </c>
      <c r="P39" s="42"/>
      <c r="Q39" s="42"/>
      <c r="R39" s="42"/>
      <c r="S39" s="42"/>
      <c r="T39" s="42"/>
      <c r="U39" s="42"/>
      <c r="V39" s="43"/>
    </row>
    <row r="40" spans="1:22" x14ac:dyDescent="0.25">
      <c r="A40" s="41" t="s">
        <v>50</v>
      </c>
      <c r="B40" s="42"/>
      <c r="C40" s="42">
        <v>7.8530000000000003E-2</v>
      </c>
      <c r="D40" s="42"/>
      <c r="E40" s="42"/>
      <c r="F40" s="42"/>
      <c r="G40" s="42"/>
      <c r="H40" s="42"/>
      <c r="I40" s="42"/>
      <c r="J40" s="42"/>
      <c r="K40" s="42">
        <v>0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3"/>
    </row>
    <row r="41" spans="1:22" x14ac:dyDescent="0.25">
      <c r="A41" s="41">
        <v>18</v>
      </c>
      <c r="B41" s="42"/>
      <c r="C41" s="42">
        <v>7.9500000000000005E-3</v>
      </c>
      <c r="D41" s="42"/>
      <c r="E41" s="42">
        <v>0.11806</v>
      </c>
      <c r="F41" s="42">
        <v>6.25E-2</v>
      </c>
      <c r="G41" s="42"/>
      <c r="H41" s="42"/>
      <c r="I41" s="42">
        <v>2.98E-3</v>
      </c>
      <c r="J41" s="42">
        <v>9.8999999999999999E-4</v>
      </c>
      <c r="K41" s="42">
        <v>0.20932999999999999</v>
      </c>
      <c r="L41" s="42"/>
      <c r="M41" s="42"/>
      <c r="N41" s="42">
        <v>5.1900000000000002E-2</v>
      </c>
      <c r="O41" s="42"/>
      <c r="P41" s="42">
        <v>2.4799999999999999E-2</v>
      </c>
      <c r="Q41" s="42">
        <v>2.1870000000000001E-2</v>
      </c>
      <c r="R41" s="42"/>
      <c r="S41" s="42"/>
      <c r="T41" s="42"/>
      <c r="U41" s="42"/>
      <c r="V41" s="43">
        <v>0.22023999999999999</v>
      </c>
    </row>
    <row r="42" spans="1:22" x14ac:dyDescent="0.25">
      <c r="A42" s="41" t="s">
        <v>51</v>
      </c>
      <c r="B42" s="42"/>
      <c r="C42" s="42"/>
      <c r="D42" s="42"/>
      <c r="E42" s="42"/>
      <c r="F42" s="42"/>
      <c r="G42" s="42"/>
      <c r="H42" s="42"/>
      <c r="I42" s="42"/>
      <c r="J42" s="42"/>
      <c r="K42" s="42">
        <v>0</v>
      </c>
      <c r="L42" s="42"/>
      <c r="M42" s="42"/>
      <c r="N42" s="42">
        <v>1E-3</v>
      </c>
      <c r="O42" s="42">
        <v>9.8999999999999999E-4</v>
      </c>
      <c r="P42" s="42"/>
      <c r="Q42" s="42">
        <v>0</v>
      </c>
      <c r="R42" s="42"/>
      <c r="S42" s="42"/>
      <c r="T42" s="42"/>
      <c r="U42" s="42"/>
      <c r="V42" s="43"/>
    </row>
    <row r="43" spans="1:22" x14ac:dyDescent="0.25">
      <c r="A43" s="41" t="s">
        <v>52</v>
      </c>
      <c r="B43" s="42"/>
      <c r="C43" s="42">
        <v>2.8830000000000001E-2</v>
      </c>
      <c r="D43" s="42"/>
      <c r="E43" s="42"/>
      <c r="F43" s="42"/>
      <c r="G43" s="42"/>
      <c r="H43" s="42"/>
      <c r="I43" s="42"/>
      <c r="J43" s="42"/>
      <c r="K43" s="42">
        <v>0</v>
      </c>
      <c r="L43" s="42"/>
      <c r="M43" s="42"/>
      <c r="N43" s="42"/>
      <c r="O43" s="42"/>
      <c r="P43" s="42"/>
      <c r="Q43" s="42">
        <v>0</v>
      </c>
      <c r="R43" s="42"/>
      <c r="S43" s="42"/>
      <c r="T43" s="42"/>
      <c r="U43" s="42"/>
      <c r="V43" s="43">
        <v>0</v>
      </c>
    </row>
    <row r="44" spans="1:22" x14ac:dyDescent="0.25">
      <c r="A44" s="41">
        <v>19</v>
      </c>
      <c r="B44" s="42"/>
      <c r="C44" s="42">
        <v>9.8999999999999999E-4</v>
      </c>
      <c r="D44" s="42"/>
      <c r="E44" s="42">
        <v>0.20238</v>
      </c>
      <c r="F44" s="42">
        <v>1.98E-3</v>
      </c>
      <c r="G44" s="42"/>
      <c r="H44" s="42"/>
      <c r="I44" s="42"/>
      <c r="J44" s="42">
        <v>0</v>
      </c>
      <c r="K44" s="42">
        <v>0.21032000000000001</v>
      </c>
      <c r="L44" s="42"/>
      <c r="M44" s="42"/>
      <c r="N44" s="42">
        <v>3.3930000000000002E-2</v>
      </c>
      <c r="O44" s="42"/>
      <c r="P44" s="42">
        <v>2.98E-3</v>
      </c>
      <c r="Q44" s="42">
        <v>7.5550000000000006E-2</v>
      </c>
      <c r="R44" s="42"/>
      <c r="S44" s="42"/>
      <c r="T44" s="42"/>
      <c r="U44" s="42"/>
      <c r="V44" s="43">
        <v>8.7300000000000003E-2</v>
      </c>
    </row>
    <row r="45" spans="1:22" x14ac:dyDescent="0.25">
      <c r="A45" s="41" t="s">
        <v>53</v>
      </c>
      <c r="B45" s="42"/>
      <c r="C45" s="42"/>
      <c r="D45" s="42"/>
      <c r="E45" s="42"/>
      <c r="F45" s="42"/>
      <c r="G45" s="42"/>
      <c r="H45" s="42"/>
      <c r="I45" s="42"/>
      <c r="J45" s="42"/>
      <c r="K45" s="42">
        <v>0</v>
      </c>
      <c r="L45" s="42"/>
      <c r="M45" s="42"/>
      <c r="N45" s="42"/>
      <c r="O45" s="42"/>
      <c r="P45" s="42"/>
      <c r="Q45" s="42">
        <v>0</v>
      </c>
      <c r="R45" s="42"/>
      <c r="S45" s="42"/>
      <c r="T45" s="42"/>
      <c r="U45" s="42"/>
      <c r="V45" s="43"/>
    </row>
    <row r="46" spans="1:22" x14ac:dyDescent="0.25">
      <c r="A46" s="41" t="s">
        <v>54</v>
      </c>
      <c r="B46" s="42"/>
      <c r="C46" s="42">
        <v>2.98E-3</v>
      </c>
      <c r="D46" s="42"/>
      <c r="E46" s="42"/>
      <c r="F46" s="42"/>
      <c r="G46" s="42"/>
      <c r="H46" s="42"/>
      <c r="I46" s="42"/>
      <c r="J46" s="42"/>
      <c r="K46" s="42">
        <v>1.98E-3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3"/>
    </row>
    <row r="47" spans="1:22" x14ac:dyDescent="0.25">
      <c r="A47" s="41">
        <v>20</v>
      </c>
      <c r="B47" s="42"/>
      <c r="C47" s="42"/>
      <c r="D47" s="42"/>
      <c r="E47" s="42">
        <v>0.11210000000000001</v>
      </c>
      <c r="F47" s="42">
        <v>9.8999999999999999E-4</v>
      </c>
      <c r="G47" s="42"/>
      <c r="H47" s="42"/>
      <c r="I47" s="42"/>
      <c r="J47" s="42"/>
      <c r="K47" s="42">
        <v>0.20337</v>
      </c>
      <c r="L47" s="42"/>
      <c r="M47" s="42"/>
      <c r="N47" s="42">
        <v>2.894E-2</v>
      </c>
      <c r="O47" s="42"/>
      <c r="P47" s="42">
        <v>0</v>
      </c>
      <c r="Q47" s="42">
        <v>5.4670000000000003E-2</v>
      </c>
      <c r="R47" s="42"/>
      <c r="S47" s="42"/>
      <c r="T47" s="42"/>
      <c r="U47" s="42"/>
      <c r="V47" s="43">
        <v>1.7860000000000001E-2</v>
      </c>
    </row>
    <row r="48" spans="1:22" x14ac:dyDescent="0.25">
      <c r="A48" s="41" t="s">
        <v>55</v>
      </c>
      <c r="B48" s="42"/>
      <c r="C48" s="42"/>
      <c r="D48" s="42"/>
      <c r="E48" s="42"/>
      <c r="F48" s="42"/>
      <c r="G48" s="42"/>
      <c r="H48" s="42"/>
      <c r="I48" s="42"/>
      <c r="J48" s="42"/>
      <c r="K48" s="42">
        <v>0</v>
      </c>
      <c r="L48" s="42"/>
      <c r="M48" s="42"/>
      <c r="N48" s="42">
        <v>0</v>
      </c>
      <c r="O48" s="42"/>
      <c r="P48" s="42"/>
      <c r="Q48" s="42">
        <v>9.8999999999999999E-4</v>
      </c>
      <c r="R48" s="42"/>
      <c r="S48" s="42"/>
      <c r="T48" s="42"/>
      <c r="U48" s="42"/>
      <c r="V48" s="43"/>
    </row>
    <row r="49" spans="1:22" x14ac:dyDescent="0.25">
      <c r="A49" s="41" t="s">
        <v>56</v>
      </c>
      <c r="B49" s="42"/>
      <c r="C49" s="42">
        <v>9.8999999999999999E-4</v>
      </c>
      <c r="D49" s="42"/>
      <c r="E49" s="42"/>
      <c r="F49" s="42"/>
      <c r="G49" s="42"/>
      <c r="H49" s="42"/>
      <c r="I49" s="42"/>
      <c r="J49" s="42"/>
      <c r="K49" s="42">
        <v>0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/>
    </row>
    <row r="50" spans="1:22" x14ac:dyDescent="0.25">
      <c r="A50" s="41">
        <v>21</v>
      </c>
      <c r="B50" s="42"/>
      <c r="C50" s="42"/>
      <c r="D50" s="42"/>
      <c r="E50" s="42">
        <v>2.9760000000000002E-2</v>
      </c>
      <c r="F50" s="42"/>
      <c r="G50" s="42"/>
      <c r="H50" s="42"/>
      <c r="I50" s="42"/>
      <c r="J50" s="42"/>
      <c r="K50" s="42">
        <v>0.10913</v>
      </c>
      <c r="L50" s="42"/>
      <c r="M50" s="42"/>
      <c r="N50" s="42">
        <v>1.9959999999999999E-2</v>
      </c>
      <c r="O50" s="42"/>
      <c r="P50" s="42">
        <v>0</v>
      </c>
      <c r="Q50" s="42">
        <v>0.12525</v>
      </c>
      <c r="R50" s="42"/>
      <c r="S50" s="42"/>
      <c r="T50" s="42"/>
      <c r="U50" s="42"/>
      <c r="V50" s="43">
        <v>0</v>
      </c>
    </row>
    <row r="51" spans="1:22" x14ac:dyDescent="0.25">
      <c r="A51" s="41" t="s">
        <v>57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>
        <v>7.9500000000000005E-3</v>
      </c>
      <c r="R51" s="42"/>
      <c r="S51" s="42"/>
      <c r="T51" s="42"/>
      <c r="U51" s="42"/>
      <c r="V51" s="43"/>
    </row>
    <row r="52" spans="1:22" x14ac:dyDescent="0.25">
      <c r="A52" s="41">
        <v>22</v>
      </c>
      <c r="B52" s="42"/>
      <c r="C52" s="42"/>
      <c r="D52" s="42"/>
      <c r="E52" s="42">
        <v>4.1669999999999999E-2</v>
      </c>
      <c r="F52" s="42"/>
      <c r="G52" s="42"/>
      <c r="H52" s="42"/>
      <c r="I52" s="42"/>
      <c r="J52" s="42"/>
      <c r="K52" s="42">
        <v>8.5319999999999993E-2</v>
      </c>
      <c r="L52" s="42"/>
      <c r="M52" s="42"/>
      <c r="N52" s="42">
        <v>1.8960000000000001E-2</v>
      </c>
      <c r="O52" s="42"/>
      <c r="P52" s="42"/>
      <c r="Q52" s="42">
        <v>0.21271999999999999</v>
      </c>
      <c r="R52" s="42"/>
      <c r="S52" s="42"/>
      <c r="T52" s="42"/>
      <c r="U52" s="42"/>
      <c r="V52" s="43">
        <v>0</v>
      </c>
    </row>
    <row r="53" spans="1:22" x14ac:dyDescent="0.25">
      <c r="A53" s="41" t="s">
        <v>58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>
        <v>5.96E-3</v>
      </c>
      <c r="R53" s="42"/>
      <c r="S53" s="42"/>
      <c r="T53" s="42"/>
      <c r="U53" s="42"/>
      <c r="V53" s="43"/>
    </row>
    <row r="54" spans="1:22" x14ac:dyDescent="0.25">
      <c r="A54" s="41">
        <v>23</v>
      </c>
      <c r="B54" s="42"/>
      <c r="C54" s="42"/>
      <c r="D54" s="42"/>
      <c r="E54" s="42">
        <v>0.16864999999999999</v>
      </c>
      <c r="F54" s="42"/>
      <c r="G54" s="42"/>
      <c r="H54" s="42"/>
      <c r="I54" s="42"/>
      <c r="J54" s="42"/>
      <c r="K54" s="42">
        <v>4.5629999999999997E-2</v>
      </c>
      <c r="L54" s="42"/>
      <c r="M54" s="42"/>
      <c r="N54" s="42">
        <v>6.9899999999999997E-3</v>
      </c>
      <c r="O54" s="42"/>
      <c r="P54" s="42"/>
      <c r="Q54" s="42">
        <v>0.17793</v>
      </c>
      <c r="R54" s="42"/>
      <c r="S54" s="42"/>
      <c r="T54" s="42"/>
      <c r="U54" s="42"/>
      <c r="V54" s="43"/>
    </row>
    <row r="55" spans="1:22" x14ac:dyDescent="0.25">
      <c r="A55" s="41" t="s">
        <v>59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>
        <v>5.96E-3</v>
      </c>
      <c r="R55" s="42"/>
      <c r="S55" s="42"/>
      <c r="T55" s="42"/>
      <c r="U55" s="42"/>
      <c r="V55" s="43"/>
    </row>
    <row r="56" spans="1:22" x14ac:dyDescent="0.25">
      <c r="A56" s="41" t="s">
        <v>60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>
        <v>0</v>
      </c>
      <c r="R56" s="42"/>
      <c r="S56" s="42"/>
      <c r="T56" s="42"/>
      <c r="U56" s="42"/>
      <c r="V56" s="43"/>
    </row>
    <row r="57" spans="1:22" x14ac:dyDescent="0.25">
      <c r="A57" s="41">
        <v>24</v>
      </c>
      <c r="B57" s="42"/>
      <c r="C57" s="42"/>
      <c r="D57" s="42"/>
      <c r="E57" s="42">
        <v>0.14385000000000001</v>
      </c>
      <c r="F57" s="42"/>
      <c r="G57" s="42"/>
      <c r="H57" s="42"/>
      <c r="I57" s="42"/>
      <c r="J57" s="42"/>
      <c r="K57" s="42">
        <v>2.4799999999999999E-2</v>
      </c>
      <c r="L57" s="42"/>
      <c r="M57" s="42"/>
      <c r="N57" s="42">
        <v>1E-3</v>
      </c>
      <c r="O57" s="42"/>
      <c r="P57" s="42"/>
      <c r="Q57" s="42">
        <v>0.15010000000000001</v>
      </c>
      <c r="R57" s="42"/>
      <c r="S57" s="42"/>
      <c r="T57" s="42"/>
      <c r="U57" s="42"/>
      <c r="V57" s="43"/>
    </row>
    <row r="58" spans="1:22" x14ac:dyDescent="0.25">
      <c r="A58" s="41" t="s">
        <v>61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>
        <v>1.2919999999999999E-2</v>
      </c>
      <c r="R58" s="42"/>
      <c r="S58" s="42"/>
      <c r="T58" s="42"/>
      <c r="U58" s="42"/>
      <c r="V58" s="43"/>
    </row>
    <row r="59" spans="1:22" x14ac:dyDescent="0.25">
      <c r="A59" s="41">
        <v>25</v>
      </c>
      <c r="B59" s="42"/>
      <c r="C59" s="42"/>
      <c r="D59" s="42"/>
      <c r="E59" s="42">
        <v>5.0599999999999999E-2</v>
      </c>
      <c r="F59" s="42"/>
      <c r="G59" s="42"/>
      <c r="H59" s="42"/>
      <c r="I59" s="42"/>
      <c r="J59" s="42"/>
      <c r="K59" s="42">
        <v>1.4880000000000001E-2</v>
      </c>
      <c r="L59" s="42"/>
      <c r="M59" s="42"/>
      <c r="N59" s="42">
        <v>2E-3</v>
      </c>
      <c r="O59" s="42"/>
      <c r="P59" s="42"/>
      <c r="Q59" s="42">
        <v>8.5489999999999997E-2</v>
      </c>
      <c r="R59" s="42"/>
      <c r="S59" s="42"/>
      <c r="T59" s="42"/>
      <c r="U59" s="42"/>
      <c r="V59" s="43"/>
    </row>
    <row r="60" spans="1:22" x14ac:dyDescent="0.25">
      <c r="A60" s="41" t="s">
        <v>62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>
        <v>7.9500000000000005E-3</v>
      </c>
      <c r="R60" s="42"/>
      <c r="S60" s="42"/>
      <c r="T60" s="42"/>
      <c r="U60" s="42"/>
      <c r="V60" s="43"/>
    </row>
    <row r="61" spans="1:22" x14ac:dyDescent="0.25">
      <c r="A61" s="41" t="s">
        <v>63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>
        <v>0</v>
      </c>
      <c r="R61" s="42"/>
      <c r="S61" s="42"/>
      <c r="T61" s="42"/>
      <c r="U61" s="42"/>
      <c r="V61" s="43"/>
    </row>
    <row r="62" spans="1:22" x14ac:dyDescent="0.25">
      <c r="A62" s="41">
        <v>26</v>
      </c>
      <c r="B62" s="42"/>
      <c r="C62" s="42"/>
      <c r="D62" s="42"/>
      <c r="E62" s="42">
        <v>1.687E-2</v>
      </c>
      <c r="F62" s="42"/>
      <c r="G62" s="42"/>
      <c r="H62" s="42"/>
      <c r="I62" s="42"/>
      <c r="J62" s="42"/>
      <c r="K62" s="42">
        <v>2.98E-3</v>
      </c>
      <c r="L62" s="42"/>
      <c r="M62" s="42"/>
      <c r="N62" s="42"/>
      <c r="O62" s="42"/>
      <c r="P62" s="42"/>
      <c r="Q62" s="42">
        <v>3.5790000000000002E-2</v>
      </c>
      <c r="R62" s="42"/>
      <c r="S62" s="42"/>
      <c r="T62" s="42"/>
      <c r="U62" s="42"/>
      <c r="V62" s="43"/>
    </row>
    <row r="63" spans="1:22" x14ac:dyDescent="0.25">
      <c r="A63" s="41" t="s">
        <v>64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>
        <v>4.9699999999999996E-3</v>
      </c>
      <c r="R63" s="42"/>
      <c r="S63" s="42"/>
      <c r="T63" s="42"/>
      <c r="U63" s="42"/>
      <c r="V63" s="43"/>
    </row>
    <row r="64" spans="1:22" x14ac:dyDescent="0.25">
      <c r="A64" s="41" t="s">
        <v>65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>
        <v>0</v>
      </c>
      <c r="R64" s="42"/>
      <c r="S64" s="42"/>
      <c r="T64" s="42"/>
      <c r="U64" s="42"/>
      <c r="V64" s="43"/>
    </row>
    <row r="65" spans="1:22" x14ac:dyDescent="0.25">
      <c r="A65" s="41">
        <v>27</v>
      </c>
      <c r="B65" s="42"/>
      <c r="C65" s="42"/>
      <c r="D65" s="42"/>
      <c r="E65" s="42">
        <v>2.98E-3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>
        <v>9.9399999999999992E-3</v>
      </c>
      <c r="R65" s="42"/>
      <c r="S65" s="42"/>
      <c r="T65" s="42"/>
      <c r="U65" s="42"/>
      <c r="V65" s="43"/>
    </row>
    <row r="66" spans="1:22" x14ac:dyDescent="0.25">
      <c r="A66" s="41" t="s">
        <v>66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>
        <v>0</v>
      </c>
      <c r="R66" s="42"/>
      <c r="S66" s="42"/>
      <c r="T66" s="42"/>
      <c r="U66" s="42"/>
      <c r="V66" s="43"/>
    </row>
    <row r="67" spans="1:22" x14ac:dyDescent="0.25">
      <c r="A67" s="41">
        <v>28</v>
      </c>
      <c r="B67" s="42"/>
      <c r="C67" s="42"/>
      <c r="D67" s="42"/>
      <c r="E67" s="42">
        <v>9.8999999999999999E-4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>
        <v>0</v>
      </c>
      <c r="R67" s="42"/>
      <c r="S67" s="42"/>
      <c r="T67" s="42"/>
      <c r="U67" s="42"/>
      <c r="V67" s="43"/>
    </row>
    <row r="68" spans="1:22" x14ac:dyDescent="0.25">
      <c r="A68" s="41">
        <v>29</v>
      </c>
      <c r="B68" s="42"/>
      <c r="C68" s="42"/>
      <c r="D68" s="42"/>
      <c r="E68" s="42">
        <v>9.8999999999999999E-4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>
        <v>0</v>
      </c>
      <c r="R68" s="42"/>
      <c r="S68" s="42"/>
      <c r="T68" s="42"/>
      <c r="U68" s="42"/>
      <c r="V68" s="43"/>
    </row>
    <row r="69" spans="1:22" x14ac:dyDescent="0.25">
      <c r="A69" s="41">
        <v>30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>
        <v>0</v>
      </c>
      <c r="R69" s="42"/>
      <c r="S69" s="42"/>
      <c r="T69" s="42"/>
      <c r="U69" s="42"/>
      <c r="V69" s="43"/>
    </row>
    <row r="70" spans="1:22" x14ac:dyDescent="0.25">
      <c r="A70" s="65"/>
      <c r="B70" s="66" t="s">
        <v>0</v>
      </c>
      <c r="C70" s="66" t="s">
        <v>7</v>
      </c>
      <c r="D70" s="66" t="s">
        <v>10</v>
      </c>
      <c r="E70" s="66" t="s">
        <v>9</v>
      </c>
      <c r="F70" s="66" t="s">
        <v>11</v>
      </c>
      <c r="G70" s="66" t="s">
        <v>12</v>
      </c>
      <c r="H70" s="66" t="s">
        <v>13</v>
      </c>
      <c r="I70" s="66" t="s">
        <v>14</v>
      </c>
      <c r="J70" s="66" t="s">
        <v>1</v>
      </c>
      <c r="K70" s="66" t="s">
        <v>2</v>
      </c>
      <c r="L70" s="66" t="s">
        <v>3</v>
      </c>
      <c r="M70" s="66" t="s">
        <v>4</v>
      </c>
      <c r="N70" s="66" t="s">
        <v>5</v>
      </c>
      <c r="O70" s="66" t="s">
        <v>6</v>
      </c>
      <c r="P70" s="66" t="s">
        <v>8</v>
      </c>
      <c r="Q70" s="66" t="s">
        <v>15</v>
      </c>
      <c r="R70" s="66" t="s">
        <v>141</v>
      </c>
      <c r="S70" s="66" t="s">
        <v>142</v>
      </c>
      <c r="T70" s="66" t="s">
        <v>16</v>
      </c>
      <c r="U70" s="66" t="s">
        <v>17</v>
      </c>
      <c r="V70" s="67" t="s">
        <v>18</v>
      </c>
    </row>
    <row r="71" spans="1:22" x14ac:dyDescent="0.25">
      <c r="A71" s="44" t="s">
        <v>19</v>
      </c>
      <c r="B71" s="45">
        <v>504</v>
      </c>
      <c r="C71" s="45">
        <v>503</v>
      </c>
      <c r="D71" s="45">
        <v>504</v>
      </c>
      <c r="E71" s="45">
        <v>504</v>
      </c>
      <c r="F71" s="45">
        <v>504</v>
      </c>
      <c r="G71" s="45">
        <v>504</v>
      </c>
      <c r="H71" s="45">
        <v>504</v>
      </c>
      <c r="I71" s="45">
        <v>504</v>
      </c>
      <c r="J71" s="45">
        <v>504</v>
      </c>
      <c r="K71" s="45">
        <v>504</v>
      </c>
      <c r="L71" s="45">
        <v>504</v>
      </c>
      <c r="M71" s="45">
        <v>504</v>
      </c>
      <c r="N71" s="45">
        <v>501</v>
      </c>
      <c r="O71" s="45">
        <v>504</v>
      </c>
      <c r="P71" s="45">
        <v>504</v>
      </c>
      <c r="Q71" s="45">
        <v>503</v>
      </c>
      <c r="R71" s="45">
        <v>496</v>
      </c>
      <c r="S71" s="45">
        <v>402</v>
      </c>
      <c r="T71" s="45">
        <v>502</v>
      </c>
      <c r="U71" s="45">
        <v>504</v>
      </c>
      <c r="V71" s="46">
        <v>504</v>
      </c>
    </row>
    <row r="72" spans="1:22" x14ac:dyDescent="0.25">
      <c r="A72" s="41" t="s">
        <v>20</v>
      </c>
      <c r="B72" s="47">
        <v>9</v>
      </c>
      <c r="C72" s="47">
        <v>17</v>
      </c>
      <c r="D72" s="47">
        <v>9</v>
      </c>
      <c r="E72" s="47">
        <v>14</v>
      </c>
      <c r="F72" s="47">
        <v>9</v>
      </c>
      <c r="G72" s="47">
        <v>9</v>
      </c>
      <c r="H72" s="47">
        <v>10</v>
      </c>
      <c r="I72" s="47">
        <v>11</v>
      </c>
      <c r="J72" s="47">
        <v>10</v>
      </c>
      <c r="K72" s="47">
        <v>13</v>
      </c>
      <c r="L72" s="47">
        <v>9</v>
      </c>
      <c r="M72" s="47">
        <v>8</v>
      </c>
      <c r="N72" s="47">
        <v>17</v>
      </c>
      <c r="O72" s="47">
        <v>16</v>
      </c>
      <c r="P72" s="47">
        <v>9</v>
      </c>
      <c r="Q72" s="47">
        <v>19</v>
      </c>
      <c r="R72" s="47">
        <v>12</v>
      </c>
      <c r="S72" s="47">
        <v>12</v>
      </c>
      <c r="T72" s="47">
        <v>8</v>
      </c>
      <c r="U72" s="47">
        <v>6</v>
      </c>
      <c r="V72" s="48">
        <v>7</v>
      </c>
    </row>
    <row r="73" spans="1:22" x14ac:dyDescent="0.25">
      <c r="A73" s="41" t="s">
        <v>21</v>
      </c>
      <c r="B73" s="42">
        <v>0.73799999999999999</v>
      </c>
      <c r="C73" s="42">
        <v>0.81299999999999994</v>
      </c>
      <c r="D73" s="42">
        <v>0.75600000000000001</v>
      </c>
      <c r="E73" s="42">
        <v>0.875</v>
      </c>
      <c r="F73" s="42">
        <v>0.72199999999999998</v>
      </c>
      <c r="G73" s="42">
        <v>0.76600000000000001</v>
      </c>
      <c r="H73" s="42">
        <v>0.79</v>
      </c>
      <c r="I73" s="42">
        <v>0.83499999999999996</v>
      </c>
      <c r="J73" s="42">
        <v>0.75600000000000001</v>
      </c>
      <c r="K73" s="42">
        <v>0.82099999999999995</v>
      </c>
      <c r="L73" s="42">
        <v>0.79200000000000004</v>
      </c>
      <c r="M73" s="42">
        <v>0.746</v>
      </c>
      <c r="N73" s="42">
        <v>0.85399999999999998</v>
      </c>
      <c r="O73" s="42">
        <v>0.81200000000000006</v>
      </c>
      <c r="P73" s="42">
        <v>0.78</v>
      </c>
      <c r="Q73" s="42">
        <v>0.82899999999999996</v>
      </c>
      <c r="R73" s="42">
        <v>0.77200000000000002</v>
      </c>
      <c r="S73" s="42">
        <v>0.311</v>
      </c>
      <c r="T73" s="42">
        <v>0.71699999999999997</v>
      </c>
      <c r="U73" s="42">
        <v>0.60299999999999998</v>
      </c>
      <c r="V73" s="43">
        <v>0.80600000000000005</v>
      </c>
    </row>
    <row r="74" spans="1:22" x14ac:dyDescent="0.25">
      <c r="A74" s="41" t="s">
        <v>22</v>
      </c>
      <c r="B74" s="42">
        <v>0.747</v>
      </c>
      <c r="C74" s="42">
        <v>0.83699999999999997</v>
      </c>
      <c r="D74" s="42">
        <v>0.79100000000000004</v>
      </c>
      <c r="E74" s="42">
        <v>0.86799999999999999</v>
      </c>
      <c r="F74" s="42">
        <v>0.72</v>
      </c>
      <c r="G74" s="42">
        <v>0.78300000000000003</v>
      </c>
      <c r="H74" s="42">
        <v>0.77100000000000002</v>
      </c>
      <c r="I74" s="42">
        <v>0.84899999999999998</v>
      </c>
      <c r="J74" s="42">
        <v>0.752</v>
      </c>
      <c r="K74" s="42">
        <v>0.84299999999999997</v>
      </c>
      <c r="L74" s="42">
        <v>0.79600000000000004</v>
      </c>
      <c r="M74" s="42">
        <v>0.78100000000000003</v>
      </c>
      <c r="N74" s="42">
        <v>0.86099999999999999</v>
      </c>
      <c r="O74" s="42">
        <v>0.81100000000000005</v>
      </c>
      <c r="P74" s="42">
        <v>0.75800000000000001</v>
      </c>
      <c r="Q74" s="42">
        <v>0.86699999999999999</v>
      </c>
      <c r="R74" s="42">
        <v>0.80400000000000005</v>
      </c>
      <c r="S74" s="42">
        <v>0.80400000000000005</v>
      </c>
      <c r="T74" s="42">
        <v>0.7</v>
      </c>
      <c r="U74" s="42">
        <v>0.60499999999999998</v>
      </c>
      <c r="V74" s="43">
        <v>0.79800000000000004</v>
      </c>
    </row>
    <row r="75" spans="1:22" x14ac:dyDescent="0.25">
      <c r="A75" s="41" t="s">
        <v>23</v>
      </c>
      <c r="B75" s="49">
        <v>0.1046</v>
      </c>
      <c r="C75" s="49">
        <v>4.5699999999999998E-2</v>
      </c>
      <c r="D75" s="49">
        <v>7.2599999999999998E-2</v>
      </c>
      <c r="E75" s="49">
        <v>3.2500000000000001E-2</v>
      </c>
      <c r="F75" s="49">
        <v>0.13439999999999999</v>
      </c>
      <c r="G75" s="49">
        <v>8.0600000000000005E-2</v>
      </c>
      <c r="H75" s="49">
        <v>8.6499999999999994E-2</v>
      </c>
      <c r="I75" s="49">
        <v>4.2500000000000003E-2</v>
      </c>
      <c r="J75" s="49">
        <v>0.1033</v>
      </c>
      <c r="K75" s="49">
        <v>4.4200000000000003E-2</v>
      </c>
      <c r="L75" s="49">
        <v>7.2300000000000003E-2</v>
      </c>
      <c r="M75" s="49">
        <v>7.9600000000000004E-2</v>
      </c>
      <c r="N75" s="49">
        <v>3.6499999999999998E-2</v>
      </c>
      <c r="O75" s="49">
        <v>5.8799999999999998E-2</v>
      </c>
      <c r="P75" s="49">
        <v>0.1008</v>
      </c>
      <c r="Q75" s="49">
        <v>3.4500000000000003E-2</v>
      </c>
      <c r="R75" s="49">
        <v>6.3E-2</v>
      </c>
      <c r="S75" s="49">
        <v>0.1118</v>
      </c>
      <c r="T75" s="49">
        <v>0.14069999999999999</v>
      </c>
      <c r="U75" s="49">
        <v>0.22059999999999999</v>
      </c>
      <c r="V75" s="50">
        <v>7.2300000000000003E-2</v>
      </c>
    </row>
    <row r="76" spans="1:22" x14ac:dyDescent="0.25">
      <c r="A76" s="41" t="s">
        <v>24</v>
      </c>
      <c r="B76" s="49">
        <v>0.48959999999999998</v>
      </c>
      <c r="C76" s="49">
        <v>0.62360000000000004</v>
      </c>
      <c r="D76" s="49">
        <v>0.52</v>
      </c>
      <c r="E76" s="49">
        <v>0.74470000000000003</v>
      </c>
      <c r="F76" s="49">
        <v>0.46350000000000002</v>
      </c>
      <c r="G76" s="49">
        <v>0.5373</v>
      </c>
      <c r="H76" s="49">
        <v>0.57999999999999996</v>
      </c>
      <c r="I76" s="49">
        <v>0.66610000000000003</v>
      </c>
      <c r="J76" s="49">
        <v>0.52</v>
      </c>
      <c r="K76" s="49">
        <v>0.63939999999999997</v>
      </c>
      <c r="L76" s="49">
        <v>0.5837</v>
      </c>
      <c r="M76" s="49">
        <v>0.503</v>
      </c>
      <c r="N76" s="49">
        <v>0.70330000000000004</v>
      </c>
      <c r="O76" s="49">
        <v>0.62060000000000004</v>
      </c>
      <c r="P76" s="49">
        <v>0.56200000000000006</v>
      </c>
      <c r="Q76" s="49">
        <v>0.65400000000000003</v>
      </c>
      <c r="R76" s="49">
        <v>0.54849999999999999</v>
      </c>
      <c r="S76" s="49">
        <v>6.8099999999999994E-2</v>
      </c>
      <c r="T76" s="49">
        <v>0.45529999999999998</v>
      </c>
      <c r="U76" s="49">
        <v>0.29470000000000002</v>
      </c>
      <c r="V76" s="50">
        <v>0.60940000000000005</v>
      </c>
    </row>
    <row r="77" spans="1:22" x14ac:dyDescent="0.25">
      <c r="A77" s="41" t="s">
        <v>25</v>
      </c>
      <c r="B77" s="49">
        <v>0.89539999999999997</v>
      </c>
      <c r="C77" s="49">
        <v>0.95430000000000004</v>
      </c>
      <c r="D77" s="49">
        <v>0.9274</v>
      </c>
      <c r="E77" s="49">
        <v>0.96750000000000003</v>
      </c>
      <c r="F77" s="49">
        <v>0.86560000000000004</v>
      </c>
      <c r="G77" s="49">
        <v>0.9194</v>
      </c>
      <c r="H77" s="49">
        <v>0.91349999999999998</v>
      </c>
      <c r="I77" s="49">
        <v>0.95750000000000002</v>
      </c>
      <c r="J77" s="49">
        <v>0.89670000000000005</v>
      </c>
      <c r="K77" s="49">
        <v>0.95579999999999998</v>
      </c>
      <c r="L77" s="49">
        <v>0.92769999999999997</v>
      </c>
      <c r="M77" s="49">
        <v>0.9204</v>
      </c>
      <c r="N77" s="49">
        <v>0.96350000000000002</v>
      </c>
      <c r="O77" s="49">
        <v>0.94120000000000004</v>
      </c>
      <c r="P77" s="49">
        <v>0.8992</v>
      </c>
      <c r="Q77" s="49">
        <v>0.96550000000000002</v>
      </c>
      <c r="R77" s="49">
        <v>0.93700000000000006</v>
      </c>
      <c r="S77" s="49">
        <v>0.88819999999999999</v>
      </c>
      <c r="T77" s="49">
        <v>0.85929999999999995</v>
      </c>
      <c r="U77" s="49">
        <v>0.77939999999999998</v>
      </c>
      <c r="V77" s="50">
        <v>0.92769999999999997</v>
      </c>
    </row>
    <row r="78" spans="1:22" ht="16.5" thickBot="1" x14ac:dyDescent="0.3">
      <c r="A78" s="51" t="s">
        <v>26</v>
      </c>
      <c r="B78" s="52">
        <v>0.70699999999999996</v>
      </c>
      <c r="C78" s="52">
        <v>0.82</v>
      </c>
      <c r="D78" s="52">
        <v>0.76100000000000001</v>
      </c>
      <c r="E78" s="52">
        <v>0.85399999999999998</v>
      </c>
      <c r="F78" s="52">
        <v>0.66900000000000004</v>
      </c>
      <c r="G78" s="52">
        <v>0.74929999999999997</v>
      </c>
      <c r="H78" s="52">
        <v>0.73829999999999996</v>
      </c>
      <c r="I78" s="52">
        <v>0.8306</v>
      </c>
      <c r="J78" s="52">
        <v>0.71099999999999997</v>
      </c>
      <c r="K78" s="52">
        <v>0.82399999999999995</v>
      </c>
      <c r="L78" s="52">
        <v>0.76700000000000002</v>
      </c>
      <c r="M78" s="52">
        <v>0.747</v>
      </c>
      <c r="N78" s="52">
        <v>0.84599999999999997</v>
      </c>
      <c r="O78" s="52">
        <v>0.78700000000000003</v>
      </c>
      <c r="P78" s="52">
        <v>0.72</v>
      </c>
      <c r="Q78" s="52">
        <v>0.85270000000000001</v>
      </c>
      <c r="R78" s="52">
        <v>0.78039999999999998</v>
      </c>
      <c r="S78" s="52">
        <v>0.78080000000000005</v>
      </c>
      <c r="T78" s="52">
        <v>0.65329999999999999</v>
      </c>
      <c r="U78" s="52">
        <v>0.54320000000000002</v>
      </c>
      <c r="V78" s="53">
        <v>0.76780000000000004</v>
      </c>
    </row>
    <row r="79" spans="1:22" x14ac:dyDescent="0.25">
      <c r="A79" s="68" t="s">
        <v>76</v>
      </c>
      <c r="B79" s="54">
        <f>PRODUCT(B75:V75)</f>
        <v>1.3923590557617354E-24</v>
      </c>
      <c r="C79" s="54"/>
      <c r="J79" s="55"/>
    </row>
    <row r="80" spans="1:22" x14ac:dyDescent="0.25">
      <c r="A80" s="68" t="s">
        <v>78</v>
      </c>
      <c r="B80" s="56">
        <f>1-(PRODUCT(1-B76,1-C76,1-D76,1-E76,1-F76,1-G76,1-H76,1-I76,1-J76,1-K76,1-L76,1-M76,1-N76,1-O76,1-P76,1-Q76,1-R76,1-S76,1-T76,1-U76,1-V76))</f>
        <v>0.99999996838649319</v>
      </c>
      <c r="C80" s="56"/>
      <c r="J80" s="57"/>
    </row>
  </sheetData>
  <mergeCells count="2">
    <mergeCell ref="B79:C79"/>
    <mergeCell ref="B80:C8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workbookViewId="0"/>
  </sheetViews>
  <sheetFormatPr defaultColWidth="11.42578125" defaultRowHeight="15.75" x14ac:dyDescent="0.25"/>
  <cols>
    <col min="1" max="1" width="11.42578125" style="2"/>
    <col min="2" max="22" width="11.42578125" style="73"/>
    <col min="23" max="16384" width="11.42578125" style="3"/>
  </cols>
  <sheetData>
    <row r="1" spans="1:22" x14ac:dyDescent="0.25">
      <c r="A1" s="1" t="s">
        <v>144</v>
      </c>
    </row>
    <row r="2" spans="1:22" ht="16.5" thickBot="1" x14ac:dyDescent="0.3"/>
    <row r="3" spans="1:22" x14ac:dyDescent="0.25">
      <c r="A3" s="69" t="s">
        <v>143</v>
      </c>
      <c r="B3" s="70" t="s">
        <v>0</v>
      </c>
      <c r="C3" s="70" t="s">
        <v>7</v>
      </c>
      <c r="D3" s="70" t="s">
        <v>10</v>
      </c>
      <c r="E3" s="70" t="s">
        <v>9</v>
      </c>
      <c r="F3" s="70" t="s">
        <v>11</v>
      </c>
      <c r="G3" s="70" t="s">
        <v>12</v>
      </c>
      <c r="H3" s="70" t="s">
        <v>13</v>
      </c>
      <c r="I3" s="70" t="s">
        <v>14</v>
      </c>
      <c r="J3" s="70" t="s">
        <v>1</v>
      </c>
      <c r="K3" s="70" t="s">
        <v>2</v>
      </c>
      <c r="L3" s="70" t="s">
        <v>3</v>
      </c>
      <c r="M3" s="70" t="s">
        <v>4</v>
      </c>
      <c r="N3" s="70" t="s">
        <v>5</v>
      </c>
      <c r="O3" s="70" t="s">
        <v>6</v>
      </c>
      <c r="P3" s="70" t="s">
        <v>8</v>
      </c>
      <c r="Q3" s="70" t="s">
        <v>15</v>
      </c>
      <c r="R3" s="70" t="s">
        <v>141</v>
      </c>
      <c r="S3" s="70" t="s">
        <v>142</v>
      </c>
      <c r="T3" s="70" t="s">
        <v>16</v>
      </c>
      <c r="U3" s="70" t="s">
        <v>17</v>
      </c>
      <c r="V3" s="71" t="s">
        <v>18</v>
      </c>
    </row>
    <row r="4" spans="1:22" x14ac:dyDescent="0.25">
      <c r="A4" s="23">
        <v>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>
        <v>0</v>
      </c>
      <c r="M4" s="24"/>
      <c r="N4" s="24"/>
      <c r="O4" s="24"/>
      <c r="P4" s="24"/>
      <c r="Q4" s="24"/>
      <c r="R4" s="24">
        <v>0</v>
      </c>
      <c r="S4" s="24">
        <v>8.09E-2</v>
      </c>
      <c r="T4" s="24">
        <v>0</v>
      </c>
      <c r="U4" s="24"/>
      <c r="V4" s="25"/>
    </row>
    <row r="5" spans="1:22" x14ac:dyDescent="0.25">
      <c r="A5" s="23">
        <v>6</v>
      </c>
      <c r="B5" s="24"/>
      <c r="C5" s="24"/>
      <c r="D5" s="24"/>
      <c r="E5" s="24"/>
      <c r="F5" s="24"/>
      <c r="G5" s="24"/>
      <c r="H5" s="24">
        <v>0</v>
      </c>
      <c r="I5" s="24"/>
      <c r="J5" s="24">
        <v>0</v>
      </c>
      <c r="K5" s="24"/>
      <c r="L5" s="24"/>
      <c r="M5" s="24"/>
      <c r="N5" s="24"/>
      <c r="O5" s="24">
        <v>1.0300000000000001E-3</v>
      </c>
      <c r="P5" s="24"/>
      <c r="Q5" s="24"/>
      <c r="R5" s="24">
        <v>3.1199999999999999E-3</v>
      </c>
      <c r="S5" s="24">
        <v>0</v>
      </c>
      <c r="T5" s="24">
        <v>0.27403</v>
      </c>
      <c r="U5" s="24">
        <v>1.0200000000000001E-3</v>
      </c>
      <c r="V5" s="25"/>
    </row>
    <row r="6" spans="1:22" x14ac:dyDescent="0.25">
      <c r="A6" s="23">
        <v>7</v>
      </c>
      <c r="B6" s="24">
        <v>2.0400000000000001E-3</v>
      </c>
      <c r="C6" s="24">
        <v>1.0200000000000001E-3</v>
      </c>
      <c r="D6" s="24"/>
      <c r="E6" s="24"/>
      <c r="F6" s="24"/>
      <c r="G6" s="24">
        <v>1.0200000000000001E-3</v>
      </c>
      <c r="H6" s="24">
        <v>4.1239999999999999E-2</v>
      </c>
      <c r="I6" s="24"/>
      <c r="J6" s="24">
        <v>0</v>
      </c>
      <c r="K6" s="24"/>
      <c r="L6" s="24">
        <v>9.2200000000000008E-3</v>
      </c>
      <c r="M6" s="24">
        <v>0</v>
      </c>
      <c r="N6" s="24"/>
      <c r="O6" s="24">
        <v>0</v>
      </c>
      <c r="P6" s="24"/>
      <c r="Q6" s="24"/>
      <c r="R6" s="24">
        <v>5.1999999999999998E-3</v>
      </c>
      <c r="S6" s="24">
        <v>7.4270000000000003E-2</v>
      </c>
      <c r="T6" s="24">
        <v>0.17177999999999999</v>
      </c>
      <c r="U6" s="24">
        <v>2.0400000000000001E-3</v>
      </c>
      <c r="V6" s="25"/>
    </row>
    <row r="7" spans="1:22" x14ac:dyDescent="0.25">
      <c r="A7" s="23" t="s">
        <v>27</v>
      </c>
      <c r="B7" s="24"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</row>
    <row r="8" spans="1:22" x14ac:dyDescent="0.25">
      <c r="A8" s="23">
        <v>8</v>
      </c>
      <c r="B8" s="24">
        <v>2.0400000000000001E-3</v>
      </c>
      <c r="C8" s="24">
        <v>4.0980000000000003E-2</v>
      </c>
      <c r="D8" s="24">
        <v>0</v>
      </c>
      <c r="E8" s="24">
        <v>1.0200000000000001E-3</v>
      </c>
      <c r="F8" s="24"/>
      <c r="G8" s="24">
        <v>1.0200000000000001E-3</v>
      </c>
      <c r="H8" s="24">
        <v>0.23710999999999999</v>
      </c>
      <c r="I8" s="24">
        <v>6.13E-3</v>
      </c>
      <c r="J8" s="24">
        <v>0</v>
      </c>
      <c r="K8" s="24"/>
      <c r="L8" s="24">
        <v>0.19056999999999999</v>
      </c>
      <c r="M8" s="24">
        <v>8.0780000000000005E-2</v>
      </c>
      <c r="N8" s="24"/>
      <c r="O8" s="24">
        <v>0</v>
      </c>
      <c r="P8" s="24">
        <v>0</v>
      </c>
      <c r="Q8" s="24"/>
      <c r="R8" s="24">
        <v>2.3910000000000001E-2</v>
      </c>
      <c r="S8" s="24">
        <v>1.061E-2</v>
      </c>
      <c r="T8" s="24">
        <v>0.12168</v>
      </c>
      <c r="U8" s="24">
        <v>0.33946999999999999</v>
      </c>
      <c r="V8" s="25"/>
    </row>
    <row r="9" spans="1:22" x14ac:dyDescent="0.25">
      <c r="A9" s="23" t="s">
        <v>28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>
        <v>0</v>
      </c>
      <c r="U9" s="24"/>
      <c r="V9" s="25"/>
    </row>
    <row r="10" spans="1:22" x14ac:dyDescent="0.25">
      <c r="A10" s="23">
        <v>9</v>
      </c>
      <c r="B10" s="24">
        <v>1.431E-2</v>
      </c>
      <c r="C10" s="24">
        <v>0</v>
      </c>
      <c r="D10" s="24">
        <v>3.0699999999999998E-3</v>
      </c>
      <c r="E10" s="24"/>
      <c r="F10" s="24">
        <v>0</v>
      </c>
      <c r="G10" s="24">
        <v>2.6579999999999999E-2</v>
      </c>
      <c r="H10" s="24">
        <v>7.2160000000000002E-2</v>
      </c>
      <c r="I10" s="24">
        <v>5.11E-3</v>
      </c>
      <c r="J10" s="24">
        <v>0</v>
      </c>
      <c r="K10" s="24"/>
      <c r="L10" s="24">
        <v>0.10963000000000001</v>
      </c>
      <c r="M10" s="24">
        <v>0.13189999999999999</v>
      </c>
      <c r="N10" s="24">
        <v>0</v>
      </c>
      <c r="O10" s="24">
        <v>1.0300000000000001E-3</v>
      </c>
      <c r="P10" s="24">
        <v>0</v>
      </c>
      <c r="Q10" s="24"/>
      <c r="R10" s="24">
        <v>0.22453000000000001</v>
      </c>
      <c r="S10" s="24">
        <v>2.785E-2</v>
      </c>
      <c r="T10" s="24">
        <v>0.27606999999999998</v>
      </c>
      <c r="U10" s="24">
        <v>0.14008000000000001</v>
      </c>
      <c r="V10" s="25"/>
    </row>
    <row r="11" spans="1:22" x14ac:dyDescent="0.25">
      <c r="A11" s="23" t="s">
        <v>29</v>
      </c>
      <c r="B11" s="24"/>
      <c r="C11" s="24"/>
      <c r="D11" s="24">
        <v>0</v>
      </c>
      <c r="E11" s="24"/>
      <c r="F11" s="24"/>
      <c r="G11" s="24"/>
      <c r="H11" s="24">
        <v>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>
        <v>0</v>
      </c>
      <c r="V11" s="25"/>
    </row>
    <row r="12" spans="1:22" x14ac:dyDescent="0.25">
      <c r="A12" s="23" t="s">
        <v>30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>
        <v>0.14315</v>
      </c>
      <c r="U12" s="24"/>
      <c r="V12" s="25"/>
    </row>
    <row r="13" spans="1:22" x14ac:dyDescent="0.25">
      <c r="A13" s="23">
        <v>10</v>
      </c>
      <c r="B13" s="24">
        <v>0.20960999999999999</v>
      </c>
      <c r="C13" s="24">
        <v>1.1270000000000001E-2</v>
      </c>
      <c r="D13" s="24">
        <v>0.34560000000000002</v>
      </c>
      <c r="E13" s="24"/>
      <c r="F13" s="24"/>
      <c r="G13" s="24">
        <v>0.10224999999999999</v>
      </c>
      <c r="H13" s="24">
        <v>0.2268</v>
      </c>
      <c r="I13" s="24">
        <v>0.17076</v>
      </c>
      <c r="J13" s="24">
        <v>0</v>
      </c>
      <c r="K13" s="24"/>
      <c r="L13" s="24">
        <v>7.5819999999999999E-2</v>
      </c>
      <c r="M13" s="24">
        <v>0.10428999999999999</v>
      </c>
      <c r="N13" s="24">
        <v>1.025E-2</v>
      </c>
      <c r="O13" s="24">
        <v>0</v>
      </c>
      <c r="P13" s="24">
        <v>4.0899999999999999E-3</v>
      </c>
      <c r="Q13" s="24"/>
      <c r="R13" s="24">
        <v>0.20477999999999999</v>
      </c>
      <c r="S13" s="24">
        <v>5.04E-2</v>
      </c>
      <c r="T13" s="24">
        <v>1.227E-2</v>
      </c>
      <c r="U13" s="24">
        <v>8.7929999999999994E-2</v>
      </c>
      <c r="V13" s="25">
        <v>2.0500000000000002E-3</v>
      </c>
    </row>
    <row r="14" spans="1:22" x14ac:dyDescent="0.25">
      <c r="A14" s="23" t="s">
        <v>31</v>
      </c>
      <c r="B14" s="24"/>
      <c r="C14" s="24"/>
      <c r="D14" s="24">
        <v>0</v>
      </c>
      <c r="E14" s="24"/>
      <c r="F14" s="24"/>
      <c r="G14" s="24"/>
      <c r="H14" s="24">
        <v>0</v>
      </c>
      <c r="I14" s="24"/>
      <c r="J14" s="24"/>
      <c r="K14" s="24"/>
      <c r="L14" s="24"/>
      <c r="M14" s="24"/>
      <c r="N14" s="24">
        <v>0</v>
      </c>
      <c r="O14" s="24"/>
      <c r="P14" s="24"/>
      <c r="Q14" s="24"/>
      <c r="R14" s="24"/>
      <c r="S14" s="24"/>
      <c r="T14" s="24"/>
      <c r="U14" s="24"/>
      <c r="V14" s="25"/>
    </row>
    <row r="15" spans="1:22" x14ac:dyDescent="0.25">
      <c r="A15" s="23" t="s">
        <v>32</v>
      </c>
      <c r="B15" s="24">
        <v>1.0200000000000001E-3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>
        <v>1.0200000000000001E-3</v>
      </c>
      <c r="U15" s="24"/>
      <c r="V15" s="25"/>
    </row>
    <row r="16" spans="1:22" x14ac:dyDescent="0.25">
      <c r="A16" s="23">
        <v>11</v>
      </c>
      <c r="B16" s="24">
        <v>0.29857</v>
      </c>
      <c r="C16" s="24">
        <v>0.16905999999999999</v>
      </c>
      <c r="D16" s="24">
        <v>0.39366000000000001</v>
      </c>
      <c r="E16" s="24"/>
      <c r="F16" s="24">
        <v>0</v>
      </c>
      <c r="G16" s="24">
        <v>0.36912</v>
      </c>
      <c r="H16" s="24">
        <v>0.21856</v>
      </c>
      <c r="I16" s="24">
        <v>6.8510000000000001E-2</v>
      </c>
      <c r="J16" s="24">
        <v>1.132E-2</v>
      </c>
      <c r="K16" s="24"/>
      <c r="L16" s="24">
        <v>0.25922000000000001</v>
      </c>
      <c r="M16" s="24">
        <v>0.34355999999999998</v>
      </c>
      <c r="N16" s="24">
        <v>2.5610000000000001E-2</v>
      </c>
      <c r="O16" s="24">
        <v>1.0300000000000001E-3</v>
      </c>
      <c r="P16" s="24">
        <v>0.30981999999999998</v>
      </c>
      <c r="Q16" s="24"/>
      <c r="R16" s="24">
        <v>0.25052000000000002</v>
      </c>
      <c r="S16" s="24">
        <v>0.27585999999999999</v>
      </c>
      <c r="T16" s="24">
        <v>0</v>
      </c>
      <c r="U16" s="24">
        <v>0.40286</v>
      </c>
      <c r="V16" s="25">
        <v>0</v>
      </c>
    </row>
    <row r="17" spans="1:22" x14ac:dyDescent="0.25">
      <c r="A17" s="23" t="s">
        <v>33</v>
      </c>
      <c r="B17" s="24"/>
      <c r="C17" s="24"/>
      <c r="D17" s="24"/>
      <c r="E17" s="24"/>
      <c r="F17" s="24"/>
      <c r="G17" s="24"/>
      <c r="H17" s="24">
        <v>0</v>
      </c>
      <c r="I17" s="24"/>
      <c r="J17" s="24"/>
      <c r="K17" s="24"/>
      <c r="L17" s="24">
        <v>0</v>
      </c>
      <c r="M17" s="24"/>
      <c r="N17" s="24"/>
      <c r="O17" s="24">
        <v>0</v>
      </c>
      <c r="P17" s="24"/>
      <c r="Q17" s="24"/>
      <c r="R17" s="24"/>
      <c r="S17" s="24"/>
      <c r="T17" s="24"/>
      <c r="U17" s="24"/>
      <c r="V17" s="25"/>
    </row>
    <row r="18" spans="1:22" x14ac:dyDescent="0.25">
      <c r="A18" s="23" t="s">
        <v>34</v>
      </c>
      <c r="B18" s="24"/>
      <c r="C18" s="24"/>
      <c r="D18" s="24">
        <v>5.3170000000000002E-2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5"/>
    </row>
    <row r="19" spans="1:22" x14ac:dyDescent="0.25">
      <c r="A19" s="23" t="s">
        <v>35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>
        <v>0</v>
      </c>
      <c r="S19" s="24"/>
      <c r="T19" s="24"/>
      <c r="U19" s="24"/>
      <c r="V19" s="25"/>
    </row>
    <row r="20" spans="1:22" x14ac:dyDescent="0.25">
      <c r="A20" s="23">
        <v>12</v>
      </c>
      <c r="B20" s="24">
        <v>0.38855000000000001</v>
      </c>
      <c r="C20" s="24">
        <v>8.4019999999999997E-2</v>
      </c>
      <c r="D20" s="24">
        <v>5.4190000000000002E-2</v>
      </c>
      <c r="E20" s="24"/>
      <c r="F20" s="24">
        <v>1.0200000000000001E-3</v>
      </c>
      <c r="G20" s="24">
        <v>0.32412999999999997</v>
      </c>
      <c r="H20" s="24">
        <v>0.18246999999999999</v>
      </c>
      <c r="I20" s="24">
        <v>8.9980000000000004E-2</v>
      </c>
      <c r="J20" s="24">
        <v>1.8519999999999998E-2</v>
      </c>
      <c r="K20" s="24"/>
      <c r="L20" s="24">
        <v>0.24385000000000001</v>
      </c>
      <c r="M20" s="24">
        <v>0.20859</v>
      </c>
      <c r="N20" s="24">
        <v>6.8650000000000003E-2</v>
      </c>
      <c r="O20" s="24">
        <v>5.6579999999999998E-2</v>
      </c>
      <c r="P20" s="24">
        <v>5.11E-3</v>
      </c>
      <c r="Q20" s="24"/>
      <c r="R20" s="24">
        <v>0.12266000000000001</v>
      </c>
      <c r="S20" s="24">
        <v>0.19761000000000001</v>
      </c>
      <c r="T20" s="24"/>
      <c r="U20" s="24">
        <v>2.3519999999999999E-2</v>
      </c>
      <c r="V20" s="25">
        <v>0</v>
      </c>
    </row>
    <row r="21" spans="1:22" x14ac:dyDescent="0.25">
      <c r="A21" s="23" t="s">
        <v>36</v>
      </c>
      <c r="B21" s="24"/>
      <c r="C21" s="24"/>
      <c r="D21" s="24"/>
      <c r="E21" s="24"/>
      <c r="F21" s="24"/>
      <c r="G21" s="24"/>
      <c r="H21" s="24">
        <v>0</v>
      </c>
      <c r="I21" s="24"/>
      <c r="J21" s="24"/>
      <c r="K21" s="24"/>
      <c r="L21" s="24"/>
      <c r="M21" s="24"/>
      <c r="N21" s="24">
        <v>0</v>
      </c>
      <c r="O21" s="24">
        <v>1.0290000000000001E-2</v>
      </c>
      <c r="P21" s="24"/>
      <c r="Q21" s="24"/>
      <c r="R21" s="24"/>
      <c r="S21" s="24"/>
      <c r="T21" s="24"/>
      <c r="U21" s="24"/>
      <c r="V21" s="25"/>
    </row>
    <row r="22" spans="1:22" x14ac:dyDescent="0.25">
      <c r="A22" s="23" t="s">
        <v>37</v>
      </c>
      <c r="B22" s="24"/>
      <c r="C22" s="24"/>
      <c r="D22" s="24">
        <v>7.1599999999999997E-3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>
        <v>0</v>
      </c>
      <c r="P22" s="24"/>
      <c r="Q22" s="24"/>
      <c r="R22" s="24"/>
      <c r="S22" s="24"/>
      <c r="T22" s="24"/>
      <c r="U22" s="24"/>
      <c r="V22" s="25"/>
    </row>
    <row r="23" spans="1:22" x14ac:dyDescent="0.25">
      <c r="A23" s="23">
        <v>13</v>
      </c>
      <c r="B23" s="24">
        <v>6.7479999999999998E-2</v>
      </c>
      <c r="C23" s="24">
        <v>0.14446999999999999</v>
      </c>
      <c r="D23" s="24">
        <v>1.329E-2</v>
      </c>
      <c r="E23" s="24">
        <v>0</v>
      </c>
      <c r="F23" s="24">
        <v>3.0699999999999998E-3</v>
      </c>
      <c r="G23" s="24">
        <v>0.16461999999999999</v>
      </c>
      <c r="H23" s="24">
        <v>2.1649999999999999E-2</v>
      </c>
      <c r="I23" s="24">
        <v>0.17177999999999999</v>
      </c>
      <c r="J23" s="24">
        <v>0.14299999999999999</v>
      </c>
      <c r="K23" s="24"/>
      <c r="L23" s="24">
        <v>7.8890000000000002E-2</v>
      </c>
      <c r="M23" s="24">
        <v>0.10838</v>
      </c>
      <c r="N23" s="24">
        <v>0.13114999999999999</v>
      </c>
      <c r="O23" s="24">
        <v>0.30349999999999999</v>
      </c>
      <c r="P23" s="24">
        <v>5.11E-3</v>
      </c>
      <c r="Q23" s="24"/>
      <c r="R23" s="24">
        <v>0.10603</v>
      </c>
      <c r="S23" s="24">
        <v>0.12467</v>
      </c>
      <c r="T23" s="24"/>
      <c r="U23" s="24">
        <v>1.0200000000000001E-3</v>
      </c>
      <c r="V23" s="25">
        <v>8.2000000000000007E-3</v>
      </c>
    </row>
    <row r="24" spans="1:22" x14ac:dyDescent="0.25">
      <c r="A24" s="23" t="s">
        <v>38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>
        <v>0</v>
      </c>
      <c r="O24" s="24">
        <v>1.44E-2</v>
      </c>
      <c r="P24" s="24"/>
      <c r="Q24" s="24"/>
      <c r="R24" s="24"/>
      <c r="S24" s="24"/>
      <c r="T24" s="24"/>
      <c r="U24" s="24"/>
      <c r="V24" s="25"/>
    </row>
    <row r="25" spans="1:22" x14ac:dyDescent="0.25">
      <c r="A25" s="23" t="s">
        <v>39</v>
      </c>
      <c r="B25" s="24"/>
      <c r="C25" s="24"/>
      <c r="D25" s="24">
        <v>0</v>
      </c>
      <c r="E25" s="24"/>
      <c r="F25" s="24"/>
      <c r="G25" s="24"/>
      <c r="H25" s="24"/>
      <c r="I25" s="24"/>
      <c r="J25" s="24">
        <v>0</v>
      </c>
      <c r="K25" s="24"/>
      <c r="L25" s="24"/>
      <c r="M25" s="24"/>
      <c r="N25" s="24">
        <v>1.0200000000000001E-3</v>
      </c>
      <c r="O25" s="24"/>
      <c r="P25" s="24"/>
      <c r="Q25" s="24"/>
      <c r="R25" s="24"/>
      <c r="S25" s="24"/>
      <c r="T25" s="24"/>
      <c r="U25" s="24"/>
      <c r="V25" s="25"/>
    </row>
    <row r="26" spans="1:22" x14ac:dyDescent="0.25">
      <c r="A26" s="23">
        <v>14</v>
      </c>
      <c r="B26" s="24">
        <v>1.636E-2</v>
      </c>
      <c r="C26" s="24">
        <v>0.12705</v>
      </c>
      <c r="D26" s="24">
        <v>0.12168</v>
      </c>
      <c r="E26" s="24">
        <v>1.0200000000000001E-3</v>
      </c>
      <c r="F26" s="24">
        <v>5.2150000000000002E-2</v>
      </c>
      <c r="G26" s="24">
        <v>1.022E-2</v>
      </c>
      <c r="H26" s="24">
        <v>0</v>
      </c>
      <c r="I26" s="24">
        <v>0.20654</v>
      </c>
      <c r="J26" s="24">
        <v>0.25617000000000001</v>
      </c>
      <c r="K26" s="24">
        <v>1.0200000000000001E-3</v>
      </c>
      <c r="L26" s="24">
        <v>3.1759999999999997E-2</v>
      </c>
      <c r="M26" s="24">
        <v>2.0449999999999999E-2</v>
      </c>
      <c r="N26" s="24">
        <v>0.26741999999999999</v>
      </c>
      <c r="O26" s="24">
        <v>0.23663000000000001</v>
      </c>
      <c r="P26" s="24">
        <v>6.4420000000000005E-2</v>
      </c>
      <c r="Q26" s="24"/>
      <c r="R26" s="24">
        <v>3.8460000000000001E-2</v>
      </c>
      <c r="S26" s="24">
        <v>7.5600000000000001E-2</v>
      </c>
      <c r="T26" s="24"/>
      <c r="U26" s="24">
        <v>2.0400000000000001E-3</v>
      </c>
      <c r="V26" s="25">
        <v>0.13832</v>
      </c>
    </row>
    <row r="27" spans="1:22" x14ac:dyDescent="0.25">
      <c r="A27" s="23" t="s">
        <v>40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v>0</v>
      </c>
      <c r="O27" s="24">
        <v>7.3050000000000004E-2</v>
      </c>
      <c r="P27" s="24"/>
      <c r="Q27" s="24"/>
      <c r="R27" s="24">
        <v>0</v>
      </c>
      <c r="S27" s="24"/>
      <c r="T27" s="24"/>
      <c r="U27" s="24"/>
      <c r="V27" s="25"/>
    </row>
    <row r="28" spans="1:22" x14ac:dyDescent="0.25">
      <c r="A28" s="23" t="s">
        <v>41</v>
      </c>
      <c r="B28" s="24"/>
      <c r="C28" s="24">
        <v>0</v>
      </c>
      <c r="D28" s="24">
        <v>0</v>
      </c>
      <c r="E28" s="24"/>
      <c r="F28" s="24"/>
      <c r="G28" s="24"/>
      <c r="H28" s="24"/>
      <c r="I28" s="24"/>
      <c r="J28" s="24"/>
      <c r="K28" s="24"/>
      <c r="L28" s="24"/>
      <c r="M28" s="24"/>
      <c r="N28" s="24">
        <v>1.0200000000000001E-3</v>
      </c>
      <c r="O28" s="24"/>
      <c r="P28" s="24"/>
      <c r="Q28" s="24"/>
      <c r="R28" s="24"/>
      <c r="S28" s="24"/>
      <c r="T28" s="24"/>
      <c r="U28" s="24"/>
      <c r="V28" s="25"/>
    </row>
    <row r="29" spans="1:22" x14ac:dyDescent="0.25">
      <c r="A29" s="23" t="s">
        <v>42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5">
        <v>0</v>
      </c>
    </row>
    <row r="30" spans="1:22" x14ac:dyDescent="0.25">
      <c r="A30" s="23">
        <v>15</v>
      </c>
      <c r="B30" s="24">
        <v>0</v>
      </c>
      <c r="C30" s="24">
        <v>0.14549000000000001</v>
      </c>
      <c r="D30" s="24">
        <v>7.1599999999999997E-3</v>
      </c>
      <c r="E30" s="24">
        <v>0</v>
      </c>
      <c r="F30" s="24">
        <v>0.30368000000000001</v>
      </c>
      <c r="G30" s="24">
        <v>1.0200000000000001E-3</v>
      </c>
      <c r="H30" s="24"/>
      <c r="I30" s="24">
        <v>0.18609000000000001</v>
      </c>
      <c r="J30" s="24">
        <v>0.30967</v>
      </c>
      <c r="K30" s="24">
        <v>1.0200000000000001E-3</v>
      </c>
      <c r="L30" s="24">
        <v>1.0200000000000001E-3</v>
      </c>
      <c r="M30" s="24">
        <v>2.0400000000000001E-3</v>
      </c>
      <c r="N30" s="24">
        <v>0.18545</v>
      </c>
      <c r="O30" s="24">
        <v>0.1142</v>
      </c>
      <c r="P30" s="24">
        <v>0.37831999999999999</v>
      </c>
      <c r="Q30" s="24">
        <v>0</v>
      </c>
      <c r="R30" s="24">
        <v>1.247E-2</v>
      </c>
      <c r="S30" s="24">
        <v>4.2439999999999999E-2</v>
      </c>
      <c r="T30" s="24"/>
      <c r="U30" s="24"/>
      <c r="V30" s="25">
        <v>8.4019999999999997E-2</v>
      </c>
    </row>
    <row r="31" spans="1:22" x14ac:dyDescent="0.25">
      <c r="A31" s="23" t="s">
        <v>43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>
        <v>0</v>
      </c>
      <c r="P31" s="24"/>
      <c r="Q31" s="24"/>
      <c r="R31" s="24"/>
      <c r="S31" s="24"/>
      <c r="T31" s="24"/>
      <c r="U31" s="24"/>
      <c r="V31" s="25"/>
    </row>
    <row r="32" spans="1:22" x14ac:dyDescent="0.25">
      <c r="A32" s="23" t="s">
        <v>44</v>
      </c>
      <c r="B32" s="24"/>
      <c r="C32" s="24"/>
      <c r="D32" s="24"/>
      <c r="E32" s="24"/>
      <c r="F32" s="24">
        <v>0</v>
      </c>
      <c r="G32" s="24"/>
      <c r="H32" s="24"/>
      <c r="I32" s="24"/>
      <c r="J32" s="24"/>
      <c r="K32" s="24"/>
      <c r="L32" s="24"/>
      <c r="M32" s="24"/>
      <c r="N32" s="24">
        <v>0</v>
      </c>
      <c r="O32" s="24">
        <v>8.745E-2</v>
      </c>
      <c r="P32" s="24"/>
      <c r="Q32" s="24"/>
      <c r="R32" s="24"/>
      <c r="S32" s="24"/>
      <c r="T32" s="24"/>
      <c r="U32" s="24"/>
      <c r="V32" s="25"/>
    </row>
    <row r="33" spans="1:22" x14ac:dyDescent="0.25">
      <c r="A33" s="23" t="s">
        <v>45</v>
      </c>
      <c r="B33" s="24"/>
      <c r="C33" s="24">
        <v>1.8440000000000002E-2</v>
      </c>
      <c r="D33" s="24"/>
      <c r="E33" s="24"/>
      <c r="F33" s="24"/>
      <c r="G33" s="24"/>
      <c r="H33" s="24"/>
      <c r="I33" s="24"/>
      <c r="J33" s="24">
        <v>0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5"/>
    </row>
    <row r="34" spans="1:22" x14ac:dyDescent="0.25">
      <c r="A34" s="23" t="s">
        <v>46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5">
        <v>1.0200000000000001E-3</v>
      </c>
    </row>
    <row r="35" spans="1:22" x14ac:dyDescent="0.25">
      <c r="A35" s="23">
        <v>16</v>
      </c>
      <c r="B35" s="24"/>
      <c r="C35" s="24">
        <v>0.125</v>
      </c>
      <c r="D35" s="24">
        <v>1.0200000000000001E-3</v>
      </c>
      <c r="E35" s="24">
        <v>1.125E-2</v>
      </c>
      <c r="F35" s="24">
        <v>0.30470000000000003</v>
      </c>
      <c r="G35" s="24">
        <v>0</v>
      </c>
      <c r="H35" s="24"/>
      <c r="I35" s="24">
        <v>8.2820000000000005E-2</v>
      </c>
      <c r="J35" s="24">
        <v>0.21296000000000001</v>
      </c>
      <c r="K35" s="24">
        <v>1.636E-2</v>
      </c>
      <c r="L35" s="24"/>
      <c r="M35" s="24"/>
      <c r="N35" s="24">
        <v>0.11783</v>
      </c>
      <c r="O35" s="24">
        <v>5.7610000000000001E-2</v>
      </c>
      <c r="P35" s="24">
        <v>0.14519000000000001</v>
      </c>
      <c r="Q35" s="24">
        <v>0</v>
      </c>
      <c r="R35" s="24">
        <v>5.1999999999999998E-3</v>
      </c>
      <c r="S35" s="24">
        <v>3.7139999999999999E-2</v>
      </c>
      <c r="T35" s="24"/>
      <c r="U35" s="24"/>
      <c r="V35" s="25">
        <v>0.22131000000000001</v>
      </c>
    </row>
    <row r="36" spans="1:22" x14ac:dyDescent="0.25">
      <c r="A36" s="23" t="s">
        <v>47</v>
      </c>
      <c r="B36" s="24"/>
      <c r="C36" s="24"/>
      <c r="D36" s="24"/>
      <c r="E36" s="24"/>
      <c r="F36" s="24">
        <v>0</v>
      </c>
      <c r="G36" s="24"/>
      <c r="H36" s="24"/>
      <c r="I36" s="24"/>
      <c r="J36" s="24"/>
      <c r="K36" s="24">
        <v>0</v>
      </c>
      <c r="L36" s="24"/>
      <c r="M36" s="24"/>
      <c r="N36" s="24"/>
      <c r="O36" s="24">
        <v>2.8809999999999999E-2</v>
      </c>
      <c r="P36" s="24"/>
      <c r="Q36" s="24">
        <v>0</v>
      </c>
      <c r="R36" s="24"/>
      <c r="S36" s="24"/>
      <c r="T36" s="24"/>
      <c r="U36" s="24"/>
      <c r="V36" s="25"/>
    </row>
    <row r="37" spans="1:22" x14ac:dyDescent="0.25">
      <c r="A37" s="23" t="s">
        <v>48</v>
      </c>
      <c r="B37" s="24"/>
      <c r="C37" s="24">
        <v>3.4840000000000003E-2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>
        <v>0</v>
      </c>
      <c r="O37" s="24"/>
      <c r="P37" s="24"/>
      <c r="Q37" s="24"/>
      <c r="R37" s="24"/>
      <c r="S37" s="24"/>
      <c r="T37" s="24"/>
      <c r="U37" s="24"/>
      <c r="V37" s="25"/>
    </row>
    <row r="38" spans="1:22" x14ac:dyDescent="0.25">
      <c r="A38" s="23">
        <v>17</v>
      </c>
      <c r="B38" s="24"/>
      <c r="C38" s="24">
        <v>5.1229999999999998E-2</v>
      </c>
      <c r="D38" s="24"/>
      <c r="E38" s="24">
        <v>5.8279999999999998E-2</v>
      </c>
      <c r="F38" s="24">
        <v>0.23824000000000001</v>
      </c>
      <c r="G38" s="24"/>
      <c r="H38" s="24"/>
      <c r="I38" s="24">
        <v>9.1999999999999998E-3</v>
      </c>
      <c r="J38" s="24">
        <v>4.3209999999999998E-2</v>
      </c>
      <c r="K38" s="24">
        <v>0.12679000000000001</v>
      </c>
      <c r="L38" s="24"/>
      <c r="M38" s="24"/>
      <c r="N38" s="24">
        <v>8.8109999999999994E-2</v>
      </c>
      <c r="O38" s="24">
        <v>1.132E-2</v>
      </c>
      <c r="P38" s="24">
        <v>7.8729999999999994E-2</v>
      </c>
      <c r="Q38" s="24">
        <v>0</v>
      </c>
      <c r="R38" s="24">
        <v>3.1199999999999999E-3</v>
      </c>
      <c r="S38" s="24">
        <v>2.65E-3</v>
      </c>
      <c r="T38" s="24"/>
      <c r="U38" s="24"/>
      <c r="V38" s="25">
        <v>0.25922000000000001</v>
      </c>
    </row>
    <row r="39" spans="1:22" x14ac:dyDescent="0.25">
      <c r="A39" s="23" t="s">
        <v>49</v>
      </c>
      <c r="B39" s="24"/>
      <c r="C39" s="24">
        <v>0</v>
      </c>
      <c r="D39" s="24"/>
      <c r="E39" s="24"/>
      <c r="F39" s="24"/>
      <c r="G39" s="24"/>
      <c r="H39" s="24"/>
      <c r="I39" s="24"/>
      <c r="J39" s="24"/>
      <c r="K39" s="24">
        <v>0</v>
      </c>
      <c r="L39" s="24"/>
      <c r="M39" s="24"/>
      <c r="N39" s="24"/>
      <c r="O39" s="24">
        <v>3.0899999999999999E-3</v>
      </c>
      <c r="P39" s="24"/>
      <c r="Q39" s="24"/>
      <c r="R39" s="24"/>
      <c r="S39" s="24"/>
      <c r="T39" s="24"/>
      <c r="U39" s="24"/>
      <c r="V39" s="25"/>
    </row>
    <row r="40" spans="1:22" x14ac:dyDescent="0.25">
      <c r="A40" s="23" t="s">
        <v>50</v>
      </c>
      <c r="B40" s="24"/>
      <c r="C40" s="24">
        <v>2.0490000000000001E-2</v>
      </c>
      <c r="D40" s="24"/>
      <c r="E40" s="24"/>
      <c r="F40" s="24"/>
      <c r="G40" s="24"/>
      <c r="H40" s="24"/>
      <c r="I40" s="24"/>
      <c r="J40" s="24"/>
      <c r="K40" s="24">
        <v>8.1799999999999998E-3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5"/>
    </row>
    <row r="41" spans="1:22" x14ac:dyDescent="0.25">
      <c r="A41" s="23">
        <v>18</v>
      </c>
      <c r="B41" s="24"/>
      <c r="C41" s="24">
        <v>1.7420000000000001E-2</v>
      </c>
      <c r="D41" s="24"/>
      <c r="E41" s="24">
        <v>0.17893999999999999</v>
      </c>
      <c r="F41" s="24">
        <v>8.6910000000000001E-2</v>
      </c>
      <c r="G41" s="24"/>
      <c r="H41" s="24"/>
      <c r="I41" s="24">
        <v>3.0699999999999998E-3</v>
      </c>
      <c r="J41" s="24">
        <v>5.1399999999999996E-3</v>
      </c>
      <c r="K41" s="24">
        <v>0.25971</v>
      </c>
      <c r="L41" s="24"/>
      <c r="M41" s="24"/>
      <c r="N41" s="24">
        <v>5.0200000000000002E-2</v>
      </c>
      <c r="O41" s="24"/>
      <c r="P41" s="24">
        <v>9.1999999999999998E-3</v>
      </c>
      <c r="Q41" s="24">
        <v>6.1599999999999997E-3</v>
      </c>
      <c r="R41" s="24"/>
      <c r="S41" s="24"/>
      <c r="T41" s="24"/>
      <c r="U41" s="24"/>
      <c r="V41" s="25">
        <v>0.18340000000000001</v>
      </c>
    </row>
    <row r="42" spans="1:22" x14ac:dyDescent="0.25">
      <c r="A42" s="23" t="s">
        <v>51</v>
      </c>
      <c r="B42" s="24"/>
      <c r="C42" s="24"/>
      <c r="D42" s="24"/>
      <c r="E42" s="24"/>
      <c r="F42" s="24"/>
      <c r="G42" s="24"/>
      <c r="H42" s="24"/>
      <c r="I42" s="24"/>
      <c r="J42" s="24"/>
      <c r="K42" s="24">
        <v>0</v>
      </c>
      <c r="L42" s="24"/>
      <c r="M42" s="24"/>
      <c r="N42" s="24">
        <v>0</v>
      </c>
      <c r="O42" s="24">
        <v>0</v>
      </c>
      <c r="P42" s="24"/>
      <c r="Q42" s="24">
        <v>0</v>
      </c>
      <c r="R42" s="24"/>
      <c r="S42" s="24"/>
      <c r="T42" s="24"/>
      <c r="U42" s="24"/>
      <c r="V42" s="25"/>
    </row>
    <row r="43" spans="1:22" x14ac:dyDescent="0.25">
      <c r="A43" s="23" t="s">
        <v>52</v>
      </c>
      <c r="B43" s="24"/>
      <c r="C43" s="24">
        <v>7.1700000000000002E-3</v>
      </c>
      <c r="D43" s="24"/>
      <c r="E43" s="24"/>
      <c r="F43" s="24"/>
      <c r="G43" s="24"/>
      <c r="H43" s="24"/>
      <c r="I43" s="24"/>
      <c r="J43" s="24"/>
      <c r="K43" s="24">
        <v>1.84E-2</v>
      </c>
      <c r="L43" s="24"/>
      <c r="M43" s="24"/>
      <c r="N43" s="24"/>
      <c r="O43" s="24"/>
      <c r="P43" s="24"/>
      <c r="Q43" s="24">
        <v>0</v>
      </c>
      <c r="R43" s="24"/>
      <c r="S43" s="24"/>
      <c r="T43" s="24"/>
      <c r="U43" s="24"/>
      <c r="V43" s="25">
        <v>0</v>
      </c>
    </row>
    <row r="44" spans="1:22" x14ac:dyDescent="0.25">
      <c r="A44" s="23">
        <v>19</v>
      </c>
      <c r="B44" s="24"/>
      <c r="C44" s="24">
        <v>2.0500000000000002E-3</v>
      </c>
      <c r="D44" s="24"/>
      <c r="E44" s="24">
        <v>0.15848999999999999</v>
      </c>
      <c r="F44" s="24">
        <v>1.022E-2</v>
      </c>
      <c r="G44" s="24"/>
      <c r="H44" s="24"/>
      <c r="I44" s="24"/>
      <c r="J44" s="24">
        <v>0</v>
      </c>
      <c r="K44" s="24">
        <v>0.15848999999999999</v>
      </c>
      <c r="L44" s="24"/>
      <c r="M44" s="24"/>
      <c r="N44" s="24">
        <v>2.3570000000000001E-2</v>
      </c>
      <c r="O44" s="24"/>
      <c r="P44" s="24">
        <v>0</v>
      </c>
      <c r="Q44" s="24">
        <v>7.2900000000000006E-2</v>
      </c>
      <c r="R44" s="24"/>
      <c r="S44" s="24"/>
      <c r="T44" s="24"/>
      <c r="U44" s="24"/>
      <c r="V44" s="25">
        <v>8.2989999999999994E-2</v>
      </c>
    </row>
    <row r="45" spans="1:22" x14ac:dyDescent="0.25">
      <c r="A45" s="23" t="s">
        <v>53</v>
      </c>
      <c r="B45" s="24"/>
      <c r="C45" s="24"/>
      <c r="D45" s="24"/>
      <c r="E45" s="24"/>
      <c r="F45" s="24"/>
      <c r="G45" s="24"/>
      <c r="H45" s="24"/>
      <c r="I45" s="24"/>
      <c r="J45" s="24"/>
      <c r="K45" s="24">
        <v>2.0400000000000001E-3</v>
      </c>
      <c r="L45" s="24"/>
      <c r="M45" s="24"/>
      <c r="N45" s="24"/>
      <c r="O45" s="24"/>
      <c r="P45" s="24"/>
      <c r="Q45" s="24">
        <v>0</v>
      </c>
      <c r="R45" s="24"/>
      <c r="S45" s="24"/>
      <c r="T45" s="24"/>
      <c r="U45" s="24"/>
      <c r="V45" s="25"/>
    </row>
    <row r="46" spans="1:22" x14ac:dyDescent="0.25">
      <c r="A46" s="23" t="s">
        <v>54</v>
      </c>
      <c r="B46" s="24"/>
      <c r="C46" s="24">
        <v>0</v>
      </c>
      <c r="D46" s="24"/>
      <c r="E46" s="24"/>
      <c r="F46" s="24"/>
      <c r="G46" s="24"/>
      <c r="H46" s="24"/>
      <c r="I46" s="24"/>
      <c r="J46" s="24"/>
      <c r="K46" s="24">
        <v>1.0200000000000001E-3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5"/>
    </row>
    <row r="47" spans="1:22" x14ac:dyDescent="0.25">
      <c r="A47" s="23">
        <v>20</v>
      </c>
      <c r="B47" s="24"/>
      <c r="C47" s="24"/>
      <c r="D47" s="24"/>
      <c r="E47" s="24">
        <v>0.10327</v>
      </c>
      <c r="F47" s="24">
        <v>0</v>
      </c>
      <c r="G47" s="24"/>
      <c r="H47" s="24"/>
      <c r="I47" s="24"/>
      <c r="J47" s="24"/>
      <c r="K47" s="24">
        <v>0.10532</v>
      </c>
      <c r="L47" s="24"/>
      <c r="M47" s="24"/>
      <c r="N47" s="24">
        <v>2.1520000000000001E-2</v>
      </c>
      <c r="O47" s="24"/>
      <c r="P47" s="24">
        <v>0</v>
      </c>
      <c r="Q47" s="24">
        <v>0.1191</v>
      </c>
      <c r="R47" s="24"/>
      <c r="S47" s="24"/>
      <c r="T47" s="24"/>
      <c r="U47" s="24"/>
      <c r="V47" s="25">
        <v>1.8440000000000002E-2</v>
      </c>
    </row>
    <row r="48" spans="1:22" x14ac:dyDescent="0.25">
      <c r="A48" s="23" t="s">
        <v>55</v>
      </c>
      <c r="B48" s="24"/>
      <c r="C48" s="24"/>
      <c r="D48" s="24"/>
      <c r="E48" s="24"/>
      <c r="F48" s="24"/>
      <c r="G48" s="24"/>
      <c r="H48" s="24"/>
      <c r="I48" s="24"/>
      <c r="J48" s="24"/>
      <c r="K48" s="24">
        <v>0</v>
      </c>
      <c r="L48" s="24"/>
      <c r="M48" s="24"/>
      <c r="N48" s="24">
        <v>0</v>
      </c>
      <c r="O48" s="24"/>
      <c r="P48" s="24"/>
      <c r="Q48" s="24">
        <v>1.0300000000000001E-3</v>
      </c>
      <c r="R48" s="24"/>
      <c r="S48" s="24"/>
      <c r="T48" s="24"/>
      <c r="U48" s="24"/>
      <c r="V48" s="25"/>
    </row>
    <row r="49" spans="1:22" x14ac:dyDescent="0.25">
      <c r="A49" s="23" t="s">
        <v>56</v>
      </c>
      <c r="B49" s="24"/>
      <c r="C49" s="24">
        <v>0</v>
      </c>
      <c r="D49" s="24"/>
      <c r="E49" s="24"/>
      <c r="F49" s="24"/>
      <c r="G49" s="24"/>
      <c r="H49" s="24"/>
      <c r="I49" s="24"/>
      <c r="J49" s="24"/>
      <c r="K49" s="24">
        <v>1.0200000000000001E-3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5"/>
    </row>
    <row r="50" spans="1:22" x14ac:dyDescent="0.25">
      <c r="A50" s="23">
        <v>21</v>
      </c>
      <c r="B50" s="24"/>
      <c r="C50" s="24"/>
      <c r="D50" s="24"/>
      <c r="E50" s="24">
        <v>4.2939999999999999E-2</v>
      </c>
      <c r="F50" s="24"/>
      <c r="G50" s="24"/>
      <c r="H50" s="24"/>
      <c r="I50" s="24"/>
      <c r="J50" s="24"/>
      <c r="K50" s="24">
        <v>0.10736</v>
      </c>
      <c r="L50" s="24"/>
      <c r="M50" s="24"/>
      <c r="N50" s="24">
        <v>4.1000000000000003E-3</v>
      </c>
      <c r="O50" s="24"/>
      <c r="P50" s="24">
        <v>0</v>
      </c>
      <c r="Q50" s="24">
        <v>0.14374000000000001</v>
      </c>
      <c r="R50" s="24"/>
      <c r="S50" s="24"/>
      <c r="T50" s="24"/>
      <c r="U50" s="24"/>
      <c r="V50" s="25">
        <v>1.0200000000000001E-3</v>
      </c>
    </row>
    <row r="51" spans="1:22" x14ac:dyDescent="0.25">
      <c r="A51" s="23" t="s">
        <v>57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>
        <v>4.1099999999999999E-3</v>
      </c>
      <c r="R51" s="24"/>
      <c r="S51" s="24"/>
      <c r="T51" s="24"/>
      <c r="U51" s="24"/>
      <c r="V51" s="25"/>
    </row>
    <row r="52" spans="1:22" x14ac:dyDescent="0.25">
      <c r="A52" s="23">
        <v>22</v>
      </c>
      <c r="B52" s="24"/>
      <c r="C52" s="24"/>
      <c r="D52" s="24"/>
      <c r="E52" s="24">
        <v>8.2820000000000005E-2</v>
      </c>
      <c r="F52" s="24"/>
      <c r="G52" s="24"/>
      <c r="H52" s="24"/>
      <c r="I52" s="24"/>
      <c r="J52" s="24"/>
      <c r="K52" s="24">
        <v>9.7140000000000004E-2</v>
      </c>
      <c r="L52" s="24"/>
      <c r="M52" s="24"/>
      <c r="N52" s="24">
        <v>2.0500000000000002E-3</v>
      </c>
      <c r="O52" s="24"/>
      <c r="P52" s="24"/>
      <c r="Q52" s="24">
        <v>0.12936</v>
      </c>
      <c r="R52" s="24"/>
      <c r="S52" s="24"/>
      <c r="T52" s="24"/>
      <c r="U52" s="24"/>
      <c r="V52" s="25">
        <v>0</v>
      </c>
    </row>
    <row r="53" spans="1:22" x14ac:dyDescent="0.25">
      <c r="A53" s="23" t="s">
        <v>58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>
        <v>5.13E-3</v>
      </c>
      <c r="R53" s="24"/>
      <c r="S53" s="24"/>
      <c r="T53" s="24"/>
      <c r="U53" s="24"/>
      <c r="V53" s="25"/>
    </row>
    <row r="54" spans="1:22" x14ac:dyDescent="0.25">
      <c r="A54" s="23">
        <v>23</v>
      </c>
      <c r="B54" s="24"/>
      <c r="C54" s="24"/>
      <c r="D54" s="24"/>
      <c r="E54" s="24">
        <v>0.17280000000000001</v>
      </c>
      <c r="F54" s="24"/>
      <c r="G54" s="24"/>
      <c r="H54" s="24"/>
      <c r="I54" s="24"/>
      <c r="J54" s="24"/>
      <c r="K54" s="24">
        <v>7.4639999999999998E-2</v>
      </c>
      <c r="L54" s="24"/>
      <c r="M54" s="24"/>
      <c r="N54" s="24">
        <v>0</v>
      </c>
      <c r="O54" s="24"/>
      <c r="P54" s="24"/>
      <c r="Q54" s="24">
        <v>0.1653</v>
      </c>
      <c r="R54" s="24"/>
      <c r="S54" s="24"/>
      <c r="T54" s="24"/>
      <c r="U54" s="24"/>
      <c r="V54" s="25"/>
    </row>
    <row r="55" spans="1:22" x14ac:dyDescent="0.25">
      <c r="A55" s="23" t="s">
        <v>59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>
        <v>7.1900000000000002E-3</v>
      </c>
      <c r="R55" s="24"/>
      <c r="S55" s="24"/>
      <c r="T55" s="24"/>
      <c r="U55" s="24"/>
      <c r="V55" s="25"/>
    </row>
    <row r="56" spans="1:22" x14ac:dyDescent="0.25">
      <c r="A56" s="23" t="s">
        <v>60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>
        <v>0</v>
      </c>
      <c r="R56" s="24"/>
      <c r="S56" s="24"/>
      <c r="T56" s="24"/>
      <c r="U56" s="24"/>
      <c r="V56" s="25"/>
    </row>
    <row r="57" spans="1:22" x14ac:dyDescent="0.25">
      <c r="A57" s="23">
        <v>24</v>
      </c>
      <c r="B57" s="24"/>
      <c r="C57" s="24"/>
      <c r="D57" s="24"/>
      <c r="E57" s="24">
        <v>0.1135</v>
      </c>
      <c r="F57" s="24"/>
      <c r="G57" s="24"/>
      <c r="H57" s="24"/>
      <c r="I57" s="24"/>
      <c r="J57" s="24"/>
      <c r="K57" s="24">
        <v>1.5339999999999999E-2</v>
      </c>
      <c r="L57" s="24"/>
      <c r="M57" s="24"/>
      <c r="N57" s="24">
        <v>2.0500000000000002E-3</v>
      </c>
      <c r="O57" s="24"/>
      <c r="P57" s="24"/>
      <c r="Q57" s="24">
        <v>0.17762</v>
      </c>
      <c r="R57" s="24"/>
      <c r="S57" s="24"/>
      <c r="T57" s="24"/>
      <c r="U57" s="24"/>
      <c r="V57" s="25"/>
    </row>
    <row r="58" spans="1:22" x14ac:dyDescent="0.25">
      <c r="A58" s="23" t="s">
        <v>61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>
        <v>8.2100000000000003E-3</v>
      </c>
      <c r="R58" s="24"/>
      <c r="S58" s="24"/>
      <c r="T58" s="24"/>
      <c r="U58" s="24"/>
      <c r="V58" s="25"/>
    </row>
    <row r="59" spans="1:22" x14ac:dyDescent="0.25">
      <c r="A59" s="23">
        <v>25</v>
      </c>
      <c r="B59" s="24"/>
      <c r="C59" s="24"/>
      <c r="D59" s="24"/>
      <c r="E59" s="24">
        <v>5.7259999999999998E-2</v>
      </c>
      <c r="F59" s="24"/>
      <c r="G59" s="24"/>
      <c r="H59" s="24"/>
      <c r="I59" s="24"/>
      <c r="J59" s="24"/>
      <c r="K59" s="24">
        <v>6.13E-3</v>
      </c>
      <c r="L59" s="24"/>
      <c r="M59" s="24"/>
      <c r="N59" s="24">
        <v>0</v>
      </c>
      <c r="O59" s="24"/>
      <c r="P59" s="24"/>
      <c r="Q59" s="24">
        <v>9.6509999999999999E-2</v>
      </c>
      <c r="R59" s="24"/>
      <c r="S59" s="24"/>
      <c r="T59" s="24"/>
      <c r="U59" s="24"/>
      <c r="V59" s="25"/>
    </row>
    <row r="60" spans="1:22" x14ac:dyDescent="0.25">
      <c r="A60" s="23" t="s">
        <v>62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>
        <v>5.13E-3</v>
      </c>
      <c r="R60" s="24"/>
      <c r="S60" s="24"/>
      <c r="T60" s="24"/>
      <c r="U60" s="24"/>
      <c r="V60" s="25"/>
    </row>
    <row r="61" spans="1:22" x14ac:dyDescent="0.25">
      <c r="A61" s="23" t="s">
        <v>63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>
        <v>0</v>
      </c>
      <c r="R61" s="24"/>
      <c r="S61" s="24"/>
      <c r="T61" s="24"/>
      <c r="U61" s="24"/>
      <c r="V61" s="25"/>
    </row>
    <row r="62" spans="1:22" x14ac:dyDescent="0.25">
      <c r="A62" s="23">
        <v>26</v>
      </c>
      <c r="B62" s="24"/>
      <c r="C62" s="24"/>
      <c r="D62" s="24"/>
      <c r="E62" s="24">
        <v>1.636E-2</v>
      </c>
      <c r="F62" s="24"/>
      <c r="G62" s="24"/>
      <c r="H62" s="24"/>
      <c r="I62" s="24"/>
      <c r="J62" s="24"/>
      <c r="K62" s="24">
        <v>0</v>
      </c>
      <c r="L62" s="24"/>
      <c r="M62" s="24"/>
      <c r="N62" s="24"/>
      <c r="O62" s="24"/>
      <c r="P62" s="24"/>
      <c r="Q62" s="24">
        <v>4.7230000000000001E-2</v>
      </c>
      <c r="R62" s="24"/>
      <c r="S62" s="24"/>
      <c r="T62" s="24"/>
      <c r="U62" s="24"/>
      <c r="V62" s="25"/>
    </row>
    <row r="63" spans="1:22" x14ac:dyDescent="0.25">
      <c r="A63" s="23" t="s">
        <v>64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>
        <v>1.0300000000000001E-3</v>
      </c>
      <c r="R63" s="24"/>
      <c r="S63" s="24"/>
      <c r="T63" s="24"/>
      <c r="U63" s="24"/>
      <c r="V63" s="25"/>
    </row>
    <row r="64" spans="1:22" x14ac:dyDescent="0.25">
      <c r="A64" s="23" t="s">
        <v>65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>
        <v>1.0300000000000001E-3</v>
      </c>
      <c r="R64" s="24"/>
      <c r="S64" s="24"/>
      <c r="T64" s="24"/>
      <c r="U64" s="24"/>
      <c r="V64" s="25"/>
    </row>
    <row r="65" spans="1:22" x14ac:dyDescent="0.25">
      <c r="A65" s="23">
        <v>27</v>
      </c>
      <c r="B65" s="24"/>
      <c r="C65" s="24"/>
      <c r="D65" s="24"/>
      <c r="E65" s="24">
        <v>0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>
        <v>6.1599999999999997E-3</v>
      </c>
      <c r="R65" s="24"/>
      <c r="S65" s="24"/>
      <c r="T65" s="24"/>
      <c r="U65" s="24"/>
      <c r="V65" s="25"/>
    </row>
    <row r="66" spans="1:22" x14ac:dyDescent="0.25">
      <c r="A66" s="23" t="s">
        <v>66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>
        <v>1.0300000000000001E-3</v>
      </c>
      <c r="R66" s="24"/>
      <c r="S66" s="24"/>
      <c r="T66" s="24"/>
      <c r="U66" s="24"/>
      <c r="V66" s="25"/>
    </row>
    <row r="67" spans="1:22" x14ac:dyDescent="0.25">
      <c r="A67" s="23">
        <v>28</v>
      </c>
      <c r="B67" s="24"/>
      <c r="C67" s="24"/>
      <c r="D67" s="24"/>
      <c r="E67" s="24">
        <v>2.0400000000000001E-3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>
        <v>2.0500000000000002E-3</v>
      </c>
      <c r="R67" s="24"/>
      <c r="S67" s="24"/>
      <c r="T67" s="24"/>
      <c r="U67" s="24"/>
      <c r="V67" s="25"/>
    </row>
    <row r="68" spans="1:22" x14ac:dyDescent="0.25">
      <c r="A68" s="23">
        <v>29</v>
      </c>
      <c r="B68" s="24"/>
      <c r="C68" s="24"/>
      <c r="D68" s="24"/>
      <c r="E68" s="24">
        <v>0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>
        <v>0</v>
      </c>
      <c r="R68" s="24"/>
      <c r="S68" s="24"/>
      <c r="T68" s="24"/>
      <c r="U68" s="24"/>
      <c r="V68" s="25"/>
    </row>
    <row r="69" spans="1:22" x14ac:dyDescent="0.25">
      <c r="A69" s="23">
        <v>30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>
        <v>0</v>
      </c>
      <c r="R69" s="24"/>
      <c r="S69" s="24"/>
      <c r="T69" s="24"/>
      <c r="U69" s="24"/>
      <c r="V69" s="25"/>
    </row>
    <row r="70" spans="1:22" x14ac:dyDescent="0.25">
      <c r="A70" s="65"/>
      <c r="B70" s="66" t="s">
        <v>0</v>
      </c>
      <c r="C70" s="66" t="s">
        <v>7</v>
      </c>
      <c r="D70" s="66" t="s">
        <v>10</v>
      </c>
      <c r="E70" s="66" t="s">
        <v>9</v>
      </c>
      <c r="F70" s="66" t="s">
        <v>11</v>
      </c>
      <c r="G70" s="66" t="s">
        <v>12</v>
      </c>
      <c r="H70" s="66" t="s">
        <v>13</v>
      </c>
      <c r="I70" s="66" t="s">
        <v>14</v>
      </c>
      <c r="J70" s="66" t="s">
        <v>1</v>
      </c>
      <c r="K70" s="66" t="s">
        <v>2</v>
      </c>
      <c r="L70" s="66" t="s">
        <v>3</v>
      </c>
      <c r="M70" s="66" t="s">
        <v>4</v>
      </c>
      <c r="N70" s="66" t="s">
        <v>5</v>
      </c>
      <c r="O70" s="66" t="s">
        <v>6</v>
      </c>
      <c r="P70" s="66" t="s">
        <v>8</v>
      </c>
      <c r="Q70" s="66" t="s">
        <v>15</v>
      </c>
      <c r="R70" s="66" t="s">
        <v>141</v>
      </c>
      <c r="S70" s="66" t="s">
        <v>142</v>
      </c>
      <c r="T70" s="66" t="s">
        <v>16</v>
      </c>
      <c r="U70" s="66" t="s">
        <v>17</v>
      </c>
      <c r="V70" s="67" t="s">
        <v>18</v>
      </c>
    </row>
    <row r="71" spans="1:22" x14ac:dyDescent="0.25">
      <c r="A71" s="26" t="s">
        <v>19</v>
      </c>
      <c r="B71" s="27">
        <v>489</v>
      </c>
      <c r="C71" s="27">
        <v>488</v>
      </c>
      <c r="D71" s="27">
        <v>489</v>
      </c>
      <c r="E71" s="27">
        <v>489</v>
      </c>
      <c r="F71" s="27">
        <v>489</v>
      </c>
      <c r="G71" s="27">
        <v>489</v>
      </c>
      <c r="H71" s="27">
        <v>485</v>
      </c>
      <c r="I71" s="27">
        <v>489</v>
      </c>
      <c r="J71" s="27">
        <v>486</v>
      </c>
      <c r="K71" s="27">
        <v>489</v>
      </c>
      <c r="L71" s="27">
        <v>488</v>
      </c>
      <c r="M71" s="27">
        <v>489</v>
      </c>
      <c r="N71" s="27">
        <v>488</v>
      </c>
      <c r="O71" s="27">
        <v>486</v>
      </c>
      <c r="P71" s="27">
        <v>489</v>
      </c>
      <c r="Q71" s="27">
        <v>487</v>
      </c>
      <c r="R71" s="27">
        <v>481</v>
      </c>
      <c r="S71" s="27">
        <v>377</v>
      </c>
      <c r="T71" s="27">
        <v>489</v>
      </c>
      <c r="U71" s="27">
        <v>489</v>
      </c>
      <c r="V71" s="28">
        <v>488</v>
      </c>
    </row>
    <row r="72" spans="1:22" x14ac:dyDescent="0.25">
      <c r="A72" s="23" t="s">
        <v>20</v>
      </c>
      <c r="B72" s="29">
        <v>9</v>
      </c>
      <c r="C72" s="29">
        <v>16</v>
      </c>
      <c r="D72" s="29">
        <v>10</v>
      </c>
      <c r="E72" s="29">
        <v>14</v>
      </c>
      <c r="F72" s="29">
        <v>8</v>
      </c>
      <c r="G72" s="29">
        <v>9</v>
      </c>
      <c r="H72" s="29">
        <v>7</v>
      </c>
      <c r="I72" s="29">
        <v>11</v>
      </c>
      <c r="J72" s="29">
        <v>8</v>
      </c>
      <c r="K72" s="29">
        <v>17</v>
      </c>
      <c r="L72" s="29">
        <v>9</v>
      </c>
      <c r="M72" s="29">
        <v>8</v>
      </c>
      <c r="N72" s="29">
        <v>16</v>
      </c>
      <c r="O72" s="29">
        <v>15</v>
      </c>
      <c r="P72" s="29">
        <v>9</v>
      </c>
      <c r="Q72" s="29">
        <v>20</v>
      </c>
      <c r="R72" s="29">
        <v>12</v>
      </c>
      <c r="S72" s="29">
        <v>12</v>
      </c>
      <c r="T72" s="29">
        <v>7</v>
      </c>
      <c r="U72" s="29">
        <v>9</v>
      </c>
      <c r="V72" s="30">
        <v>11</v>
      </c>
    </row>
    <row r="73" spans="1:22" x14ac:dyDescent="0.25">
      <c r="A73" s="23" t="s">
        <v>21</v>
      </c>
      <c r="B73" s="24">
        <v>0.69499999999999995</v>
      </c>
      <c r="C73" s="24">
        <v>0.86099999999999999</v>
      </c>
      <c r="D73" s="24">
        <v>0.70599999999999996</v>
      </c>
      <c r="E73" s="24">
        <v>0.86299999999999999</v>
      </c>
      <c r="F73" s="24">
        <v>0.72399999999999998</v>
      </c>
      <c r="G73" s="24">
        <v>0.69299999999999995</v>
      </c>
      <c r="H73" s="24">
        <v>0.78100000000000003</v>
      </c>
      <c r="I73" s="24">
        <v>0.82599999999999996</v>
      </c>
      <c r="J73" s="24">
        <v>0.74299999999999999</v>
      </c>
      <c r="K73" s="24">
        <v>0.86099999999999999</v>
      </c>
      <c r="L73" s="24">
        <v>0.79900000000000004</v>
      </c>
      <c r="M73" s="24">
        <v>0.81200000000000006</v>
      </c>
      <c r="N73" s="24">
        <v>0.83799999999999997</v>
      </c>
      <c r="O73" s="24">
        <v>0.80900000000000005</v>
      </c>
      <c r="P73" s="24">
        <v>0.68899999999999995</v>
      </c>
      <c r="Q73" s="24">
        <v>0.80900000000000005</v>
      </c>
      <c r="R73" s="24">
        <v>0.748</v>
      </c>
      <c r="S73" s="24">
        <v>0.39500000000000002</v>
      </c>
      <c r="T73" s="24">
        <v>0.79600000000000004</v>
      </c>
      <c r="U73" s="24">
        <v>0.67500000000000004</v>
      </c>
      <c r="V73" s="25">
        <v>0.78900000000000003</v>
      </c>
    </row>
    <row r="74" spans="1:22" x14ac:dyDescent="0.25">
      <c r="A74" s="23" t="s">
        <v>22</v>
      </c>
      <c r="B74" s="24">
        <v>0.71099999999999997</v>
      </c>
      <c r="C74" s="24">
        <v>0.88400000000000001</v>
      </c>
      <c r="D74" s="24">
        <v>0.70499999999999996</v>
      </c>
      <c r="E74" s="24">
        <v>0.874</v>
      </c>
      <c r="F74" s="24">
        <v>0.748</v>
      </c>
      <c r="G74" s="24">
        <v>0.72</v>
      </c>
      <c r="H74" s="24">
        <v>0.80400000000000005</v>
      </c>
      <c r="I74" s="24">
        <v>0.84399999999999997</v>
      </c>
      <c r="J74" s="24">
        <v>0.77</v>
      </c>
      <c r="K74" s="24">
        <v>0.85299999999999998</v>
      </c>
      <c r="L74" s="24">
        <v>0.81200000000000006</v>
      </c>
      <c r="M74" s="24">
        <v>0.79100000000000004</v>
      </c>
      <c r="N74" s="24">
        <v>0.84599999999999997</v>
      </c>
      <c r="O74" s="24">
        <v>0.81799999999999995</v>
      </c>
      <c r="P74" s="24">
        <v>0.72899999999999998</v>
      </c>
      <c r="Q74" s="24">
        <v>0.872</v>
      </c>
      <c r="R74" s="24">
        <v>0.81599999999999995</v>
      </c>
      <c r="S74" s="24">
        <v>0.84499999999999997</v>
      </c>
      <c r="T74" s="24">
        <v>0.78400000000000003</v>
      </c>
      <c r="U74" s="24">
        <v>0.69499999999999995</v>
      </c>
      <c r="V74" s="25">
        <v>0.81699999999999995</v>
      </c>
    </row>
    <row r="75" spans="1:22" x14ac:dyDescent="0.25">
      <c r="A75" s="23" t="s">
        <v>23</v>
      </c>
      <c r="B75" s="31">
        <v>0.13339999999999999</v>
      </c>
      <c r="C75" s="31">
        <v>2.58E-2</v>
      </c>
      <c r="D75" s="31">
        <v>0.13639999999999999</v>
      </c>
      <c r="E75" s="31">
        <v>2.98E-2</v>
      </c>
      <c r="F75" s="31">
        <v>0.10589999999999999</v>
      </c>
      <c r="G75" s="31">
        <v>0.12570000000000001</v>
      </c>
      <c r="H75" s="31">
        <v>6.8099999999999994E-2</v>
      </c>
      <c r="I75" s="31">
        <v>4.53E-2</v>
      </c>
      <c r="J75" s="31">
        <v>8.7400000000000005E-2</v>
      </c>
      <c r="K75" s="31">
        <v>4.0399999999999998E-2</v>
      </c>
      <c r="L75" s="31">
        <v>6.4199999999999993E-2</v>
      </c>
      <c r="M75" s="31">
        <v>7.2400000000000006E-2</v>
      </c>
      <c r="N75" s="31">
        <v>4.2700000000000002E-2</v>
      </c>
      <c r="O75" s="31">
        <v>5.4300000000000001E-2</v>
      </c>
      <c r="P75" s="31">
        <v>0.11310000000000001</v>
      </c>
      <c r="Q75" s="31">
        <v>2.9499999999999998E-2</v>
      </c>
      <c r="R75" s="31">
        <v>5.5500000000000001E-2</v>
      </c>
      <c r="S75" s="31">
        <v>7.2800000000000004E-2</v>
      </c>
      <c r="T75" s="31">
        <v>8.6599999999999996E-2</v>
      </c>
      <c r="U75" s="31">
        <v>0.14199999999999999</v>
      </c>
      <c r="V75" s="32">
        <v>5.8000000000000003E-2</v>
      </c>
    </row>
    <row r="76" spans="1:22" x14ac:dyDescent="0.25">
      <c r="A76" s="23" t="s">
        <v>24</v>
      </c>
      <c r="B76" s="31">
        <v>0.42099999999999999</v>
      </c>
      <c r="C76" s="31">
        <v>0.71599999999999997</v>
      </c>
      <c r="D76" s="31">
        <v>0.43690000000000001</v>
      </c>
      <c r="E76" s="31">
        <v>0.72060000000000002</v>
      </c>
      <c r="F76" s="31">
        <v>0.4662</v>
      </c>
      <c r="G76" s="31">
        <v>0.41789999999999999</v>
      </c>
      <c r="H76" s="31">
        <v>0.56510000000000005</v>
      </c>
      <c r="I76" s="31">
        <v>0.64849999999999997</v>
      </c>
      <c r="J76" s="31">
        <v>0.4975</v>
      </c>
      <c r="K76" s="31">
        <v>0.71650000000000003</v>
      </c>
      <c r="L76" s="31">
        <v>0.59750000000000003</v>
      </c>
      <c r="M76" s="31">
        <v>0.62119999999999997</v>
      </c>
      <c r="N76" s="31">
        <v>0.67159999999999997</v>
      </c>
      <c r="O76" s="31">
        <v>0.61519999999999997</v>
      </c>
      <c r="P76" s="31">
        <v>0.41170000000000001</v>
      </c>
      <c r="Q76" s="31">
        <v>0.6159</v>
      </c>
      <c r="R76" s="31">
        <v>0.5071</v>
      </c>
      <c r="S76" s="31">
        <v>0.111</v>
      </c>
      <c r="T76" s="31">
        <v>0.5907</v>
      </c>
      <c r="U76" s="31">
        <v>0.39040000000000002</v>
      </c>
      <c r="V76" s="32">
        <v>0.57869999999999999</v>
      </c>
    </row>
    <row r="77" spans="1:22" x14ac:dyDescent="0.25">
      <c r="A77" s="23" t="s">
        <v>25</v>
      </c>
      <c r="B77" s="31">
        <v>0.86660000000000004</v>
      </c>
      <c r="C77" s="31">
        <v>0.97419999999999995</v>
      </c>
      <c r="D77" s="31">
        <v>0.86360000000000003</v>
      </c>
      <c r="E77" s="31">
        <v>0.97019999999999995</v>
      </c>
      <c r="F77" s="31">
        <v>0.89410000000000001</v>
      </c>
      <c r="G77" s="31">
        <v>0.87429999999999997</v>
      </c>
      <c r="H77" s="31">
        <v>0.93189999999999995</v>
      </c>
      <c r="I77" s="31">
        <v>0.95469999999999999</v>
      </c>
      <c r="J77" s="31">
        <v>0.91259999999999997</v>
      </c>
      <c r="K77" s="31">
        <v>0.95960000000000001</v>
      </c>
      <c r="L77" s="31">
        <v>0.93579999999999997</v>
      </c>
      <c r="M77" s="31">
        <v>0.92759999999999998</v>
      </c>
      <c r="N77" s="31">
        <v>0.95730000000000004</v>
      </c>
      <c r="O77" s="31">
        <v>0.94569999999999999</v>
      </c>
      <c r="P77" s="31">
        <v>0.88690000000000002</v>
      </c>
      <c r="Q77" s="31">
        <v>0.97050000000000003</v>
      </c>
      <c r="R77" s="31">
        <v>0.94450000000000001</v>
      </c>
      <c r="S77" s="31">
        <v>0.92720000000000002</v>
      </c>
      <c r="T77" s="31">
        <v>0.91339999999999999</v>
      </c>
      <c r="U77" s="31">
        <v>0.85799999999999998</v>
      </c>
      <c r="V77" s="32">
        <v>0.94199999999999995</v>
      </c>
    </row>
    <row r="78" spans="1:22" ht="16.5" thickBot="1" x14ac:dyDescent="0.3">
      <c r="A78" s="11" t="s">
        <v>26</v>
      </c>
      <c r="B78" s="33">
        <v>0.66</v>
      </c>
      <c r="C78" s="33">
        <v>0.87260000000000004</v>
      </c>
      <c r="D78" s="33">
        <v>0.65610000000000002</v>
      </c>
      <c r="E78" s="33">
        <v>0.86060000000000003</v>
      </c>
      <c r="F78" s="33">
        <v>0.7046</v>
      </c>
      <c r="G78" s="33">
        <v>0.67249999999999999</v>
      </c>
      <c r="H78" s="33">
        <v>0.77470000000000006</v>
      </c>
      <c r="I78" s="33">
        <v>0.82479999999999998</v>
      </c>
      <c r="J78" s="33">
        <v>0.73350000000000004</v>
      </c>
      <c r="K78" s="33">
        <v>0.83689999999999998</v>
      </c>
      <c r="L78" s="33">
        <v>0.78620000000000001</v>
      </c>
      <c r="M78" s="33">
        <v>0.76439999999999997</v>
      </c>
      <c r="N78" s="33">
        <v>0.82940000000000003</v>
      </c>
      <c r="O78" s="33">
        <v>0.79690000000000005</v>
      </c>
      <c r="P78" s="33">
        <v>0.68620000000000003</v>
      </c>
      <c r="Q78" s="33">
        <v>0.8589</v>
      </c>
      <c r="R78" s="33">
        <v>0.79120000000000001</v>
      </c>
      <c r="S78" s="33">
        <v>0.82850000000000001</v>
      </c>
      <c r="T78" s="33">
        <v>0.74990000000000001</v>
      </c>
      <c r="U78" s="33">
        <v>0.64129999999999998</v>
      </c>
      <c r="V78" s="34">
        <v>0.79159999999999997</v>
      </c>
    </row>
    <row r="79" spans="1:22" x14ac:dyDescent="0.25">
      <c r="A79" s="68" t="s">
        <v>76</v>
      </c>
      <c r="B79" s="35">
        <f>PRODUCT(B75:V75)</f>
        <v>2.1019386287576521E-25</v>
      </c>
      <c r="C79" s="35"/>
      <c r="J79" s="36"/>
    </row>
    <row r="80" spans="1:22" x14ac:dyDescent="0.25">
      <c r="A80" s="68" t="s">
        <v>78</v>
      </c>
      <c r="B80" s="37">
        <f>1-(PRODUCT(1-B76,1-C76,1-D76,1-E76,1-F76,1-G76,1-H76,1-I76,1-J76,1-K76,1-L76,1-M76,1-N76,1-O76,1-P76,1-Q76,1-R76,1-S76,1-T76,1-U76,1-V76))</f>
        <v>0.99999996489371845</v>
      </c>
      <c r="C80" s="37"/>
      <c r="J80" s="38"/>
    </row>
  </sheetData>
  <mergeCells count="2">
    <mergeCell ref="B79:C79"/>
    <mergeCell ref="B80:C8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Summary</vt:lpstr>
      <vt:lpstr>AFR</vt:lpstr>
      <vt:lpstr>AMR</vt:lpstr>
      <vt:lpstr>EUR</vt:lpstr>
      <vt:lpstr>EAS</vt:lpstr>
      <vt:lpstr>SAS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CTMJ</cp:lastModifiedBy>
  <dcterms:created xsi:type="dcterms:W3CDTF">2020-12-18T14:26:00Z</dcterms:created>
  <dcterms:modified xsi:type="dcterms:W3CDTF">2021-09-05T04:32:45Z</dcterms:modified>
</cp:coreProperties>
</file>